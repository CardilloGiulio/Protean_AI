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992788732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Requests" sheetId="1" r:id="R6b636392de15473c"/>
    <x:sheet xmlns:r="http://schemas.openxmlformats.org/officeDocument/2006/relationships" name="Summary" sheetId="2" r:id="R245606cc7f154e35"/>
    <x:sheet xmlns:r="http://schemas.openxmlformats.org/officeDocument/2006/relationships" name="Design Brief" sheetId="3" r:id="Rb021ec1fe6eb4040"/>
    <x:sheet xmlns:r="http://schemas.openxmlformats.org/officeDocument/2006/relationships" name="Frontend Stack" sheetId="4" r:id="R1827e9eeef954cd3"/>
    <x:sheet xmlns:r="http://schemas.openxmlformats.org/officeDocument/2006/relationships" name="Asset Review" sheetId="5" r:id="R8785984276464c5c"/>
    <x:sheet xmlns:r="http://schemas.openxmlformats.org/officeDocument/2006/relationships" name="Sprite Mode (Deferred)" sheetId="6" r:id="R18eb4f33b1134a7b"/>
  </x:sheets>
</x:workbook>
</file>

<file path=xl/sharedStrings.xml><?xml version="1.0" encoding="utf-8"?>
<x:sst xmlns:x="http://schemas.openxmlformats.org/spreadsheetml/2006/main">
  <x:si>
    <x:t xml:space="preserve">Protean Workspace — Visual Asset Request Checklist</x:t>
  </x:si>
  <x:si>
    <x:t xml:space="preserve">Fill in Status / Source / Notes and attach only the assets you want to provide. Anything marked Optional can be designed or generated later.</x:t>
  </x:si>
  <x:si>
    <x:t xml:space="preserve">Status</x:t>
  </x:si>
  <x:si>
    <x:t xml:space="preserve">Area / Scene</x:t>
  </x:si>
  <x:si>
    <x:t xml:space="preserve">Category</x:t>
  </x:si>
  <x:si>
    <x:t xml:space="preserve">Asset / Item</x:t>
  </x:si>
  <x:si>
    <x:t xml:space="preserve">Suggested filename</x:t>
  </x:si>
  <x:si>
    <x:t xml:space="preserve">Dimensions / Format</x:t>
  </x:si>
  <x:si>
    <x:t xml:space="preserve">Purpose / Delivery</x:t>
  </x:si>
  <x:si>
    <x:t xml:space="preserve">Priority</x:t>
  </x:si>
  <x:si>
    <x:t xml:space="preserve">Need from you?</x:t>
  </x:si>
  <x:si>
    <x:t xml:space="preserve">Source / Rights</x:t>
  </x:si>
  <x:si>
    <x:t xml:space="preserve">Notes</x:t>
  </x:si>
  <x:si>
    <x:t xml:space="preserve">Ready</x:t>
  </x:si>
  <x:si>
    <x:t xml:space="preserve">Global</x:t>
  </x:si>
  <x:si>
    <x:t xml:space="preserve">Branding</x:t>
  </x:si>
  <x:si>
    <x:t xml:space="preserve">Protean Workspace wordmark / logo</x:t>
  </x:si>
  <x:si>
    <x:t xml:space="preserve">protean-workspace-logo.svg</x:t>
  </x:si>
  <x:si>
    <x:t xml:space="preserve">SVG preferred; transparent PNG fallback</x:t>
  </x:si>
  <x:si>
    <x:t xml:space="preserve">Header, login screen, app identity</x:t>
  </x:si>
  <x:si>
    <x:t xml:space="preserve">Core</x:t>
  </x:si>
  <x:si>
    <x:t xml:space="preserve">Yes</x:t>
  </x:si>
  <x:si>
    <x:t xml:space="preserve">User-created / licensed / original</x:t>
  </x:si>
  <x:si>
    <x:t xml:space="preserve">A restrained mark is better than a large gaming-style logo.</x:t>
  </x:si>
  <x:si>
    <x:t xml:space="preserve">App icon / favicon</x:t>
  </x:si>
  <x:si>
    <x:t xml:space="preserve">protean-icon.svg</x:t>
  </x:si>
  <x:si>
    <x:t xml:space="preserve">Square SVG + 512×512 PNG</x:t>
  </x:si>
  <x:si>
    <x:t xml:space="preserve">Browser/app icon</x:t>
  </x:si>
  <x:si>
    <x:t xml:space="preserve">Recommended</x:t>
  </x:si>
  <x:si>
    <x:t xml:space="preserve">Optional</x:t>
  </x:si>
  <x:si>
    <x:t xml:space="preserve">Can be derived from the wordmark symbol.</x:t>
  </x:si>
  <x:si>
    <x:t xml:space="preserve">Moodboard</x:t>
  </x:si>
  <x:si>
    <x:t xml:space="preserve">2–5 visual references for the overall UI</x:t>
  </x:si>
  <x:si>
    <x:t xml:space="preserve">reference-global-01.*</x:t>
  </x:si>
  <x:si>
    <x:t xml:space="preserve">JPG / PNG / links</x:t>
  </x:si>
  <x:si>
    <x:t xml:space="preserve">Establishes visual language, spacing, texture, mood</x:t>
  </x:si>
  <x:si>
    <x:t xml:space="preserve">Reference only</x:t>
  </x:si>
  <x:si>
    <x:t xml:space="preserve">Screenshots or links are enough; they do not need to be production assets.</x:t>
  </x:si>
  <x:si>
    <x:t xml:space="preserve">Not needed</x:t>
  </x:si>
  <x:si>
    <x:t xml:space="preserve">Typography</x:t>
  </x:si>
  <x:si>
    <x:t xml:space="preserve">Preferred font names / links</x:t>
  </x:si>
  <x:si>
    <x:t xml:space="preserve">font-notes.txt</x:t>
  </x:si>
  <x:si>
    <x:t xml:space="preserve">Names or web links only</x:t>
  </x:si>
  <x:si>
    <x:t xml:space="preserve">Dialogue, UI labels, headings</x:t>
  </x:si>
  <x:si>
    <x:t xml:space="preserve">Open-license / owned</x:t>
  </x:si>
  <x:si>
    <x:t xml:space="preserve">Please provide names/links, not font files. (decide it from how the character would write)</x:t>
  </x:si>
  <x:si>
    <x:t xml:space="preserve">Characters</x:t>
  </x:si>
  <x:si>
    <x:t xml:space="preserve">Character Portrait</x:t>
  </x:si>
  <x:si>
    <x:t xml:space="preserve">Tom Riddle — primary portrait</x:t>
  </x:si>
  <x:si>
    <x:t xml:space="preserve">char-tom-riddle.webp</x:t>
  </x:si>
  <x:si>
    <x:t xml:space="preserve">~1024×1536, WebP/PNG, clean or transparent background</x:t>
  </x:si>
  <x:si>
    <x:t xml:space="preserve">Character card, sidebar, chat header</x:t>
  </x:si>
  <x:si>
    <x:t xml:space="preserve">User-provided / licensed / original</x:t>
  </x:si>
  <x:si>
    <x:t xml:space="preserve">Prefer waist-up or chest-up composition; avoid watermarks.</x:t>
  </x:si>
  <x:si>
    <x:t xml:space="preserve">Hermione Granger — primary portrait</x:t>
  </x:si>
  <x:si>
    <x:t xml:space="preserve">char-hermione.webp</x:t>
  </x:si>
  <x:si>
    <x:t xml:space="preserve">~1024×1536, WebP/PNG</x:t>
  </x:si>
  <x:si>
    <x:t xml:space="preserve">Consistent framing with the other portraits.</x:t>
  </x:si>
  <x:si>
    <x:t xml:space="preserve">Makoto Niijima — primary portrait</x:t>
  </x:si>
  <x:si>
    <x:t xml:space="preserve">char-makoto.webp</x:t>
  </x:si>
  <x:si>
    <x:t xml:space="preserve">Consistent lighting/framing preferred.</x:t>
  </x:si>
  <x:si>
    <x:t xml:space="preserve">Ann Takamaki — primary portrait</x:t>
  </x:si>
  <x:si>
    <x:t xml:space="preserve">char-ann.webp</x:t>
  </x:si>
  <x:si>
    <x:t xml:space="preserve">Misato Katsuragi — primary portrait</x:t>
  </x:si>
  <x:si>
    <x:t xml:space="preserve">char-misato.webp</x:t>
  </x:si>
  <x:si>
    <x:t xml:space="preserve">Gendo Ikari — primary portrait</x:t>
  </x:si>
  <x:si>
    <x:t xml:space="preserve">char-gendo.webp</x:t>
  </x:si>
  <x:si>
    <x:t xml:space="preserve">Sherlock Holmes — primary portrait</x:t>
  </x:si>
  <x:si>
    <x:t xml:space="preserve">char-sherlock.webp</x:t>
  </x:si>
  <x:si>
    <x:t xml:space="preserve">Can wait until the first visual pass is approved.</x:t>
  </x:si>
  <x:si>
    <x:t xml:space="preserve">Backgrounds</x:t>
  </x:si>
  <x:si>
    <x:t xml:space="preserve">Background</x:t>
  </x:si>
  <x:si>
    <x:t xml:space="preserve">Protean default workspace</x:t>
  </x:si>
  <x:si>
    <x:t xml:space="preserve">bg-protean-default.webp</x:t>
  </x:si>
  <x:si>
    <x:t xml:space="preserve">2560×1440 preferred; 1920×1080 minimum</x:t>
  </x:si>
  <x:si>
    <x:t xml:space="preserve">Default app environment</x:t>
  </x:si>
  <x:si>
    <x:t xml:space="preserve">Dark enough for text/UI contrast; avoid busy focal points in the center.</x:t>
  </x:si>
  <x:si>
    <x:t xml:space="preserve">Old Study</x:t>
  </x:si>
  <x:si>
    <x:t xml:space="preserve">bg-old-study.webp</x:t>
  </x:si>
  <x:si>
    <x:t xml:space="preserve">2560×1440 / WebP</x:t>
  </x:si>
  <x:si>
    <x:t xml:space="preserve">Notebook / literary environment</x:t>
  </x:si>
  <x:si>
    <x:t xml:space="preserve">Warm, low-contrast edges; central chat must remain readable.</x:t>
  </x:si>
  <x:si>
    <x:t xml:space="preserve">Wizard Archive</x:t>
  </x:si>
  <x:si>
    <x:t xml:space="preserve">bg-wizard-archive.webp</x:t>
  </x:si>
  <x:si>
    <x:t xml:space="preserve">Harry Potter-style environment</x:t>
  </x:si>
  <x:si>
    <x:t xml:space="preserve">Atmospheric library/archive rather than a branded franchise logo.</x:t>
  </x:si>
  <x:si>
    <x:t xml:space="preserve">Tokyo Rain</x:t>
  </x:si>
  <x:si>
    <x:t xml:space="preserve">bg-tokyo-rain.webp</x:t>
  </x:si>
  <x:si>
    <x:t xml:space="preserve">Persona-style urban environment</x:t>
  </x:si>
  <x:si>
    <x:t xml:space="preserve">Night/rain/neon works well; keep the center relatively calm.</x:t>
  </x:si>
  <x:si>
    <x:t xml:space="preserve">Geofront</x:t>
  </x:si>
  <x:si>
    <x:t xml:space="preserve">bg-geofront.webp</x:t>
  </x:si>
  <x:si>
    <x:t xml:space="preserve">Evangelion-style environment</x:t>
  </x:si>
  <x:si>
    <x:t xml:space="preserve">Architectural / command-center mood; avoid overly bright center.</x:t>
  </x:si>
  <x:si>
    <x:t xml:space="preserve">Void / neutral dark</x:t>
  </x:si>
  <x:si>
    <x:t xml:space="preserve">bg-void.webp</x:t>
  </x:si>
  <x:si>
    <x:t xml:space="preserve">2560×1440 / WebP or CSS-only</x:t>
  </x:si>
  <x:si>
    <x:t xml:space="preserve">Minimal distraction mode</x:t>
  </x:si>
  <x:si>
    <x:t xml:space="preserve">Original</x:t>
  </x:si>
  <x:si>
    <x:t xml:space="preserve">Can be implemented entirely in CSS if desired. (void is void, so black)</x:t>
  </x:si>
  <x:si>
    <x:t xml:space="preserve">Frames</x:t>
  </x:si>
  <x:si>
    <x:t xml:space="preserve">Texture</x:t>
  </x:si>
  <x:si>
    <x:t xml:space="preserve">Notebook paper texture</x:t>
  </x:si>
  <x:si>
    <x:t xml:space="preserve">texture-notebook-paper.webp</x:t>
  </x:si>
  <x:si>
    <x:t xml:space="preserve">1024×1024 tile or 1600×1200</x:t>
  </x:si>
  <x:si>
    <x:t xml:space="preserve">Notebook chat frame surface</x:t>
  </x:si>
  <x:si>
    <x:t xml:space="preserve">Original / licensed</x:t>
  </x:si>
  <x:si>
    <x:t xml:space="preserve">Subtle grain only; must not hurt text readability.</x:t>
  </x:si>
  <x:si>
    <x:t xml:space="preserve">Notebook cover / edge detail</x:t>
  </x:si>
  <x:si>
    <x:t xml:space="preserve">frame-notebook-edge.webp</x:t>
  </x:si>
  <x:si>
    <x:t xml:space="preserve">Transparent PNG/WebP, scalable composition</x:t>
  </x:si>
  <x:si>
    <x:t xml:space="preserve">Adds physical notebook depth</x:t>
  </x:si>
  <x:si>
    <x:t xml:space="preserve">Can be CSS if no asset is supplied.</x:t>
  </x:si>
  <x:si>
    <x:t xml:space="preserve">Manuscript parchment texture</x:t>
  </x:si>
  <x:si>
    <x:t xml:space="preserve">texture-parchment.webp</x:t>
  </x:si>
  <x:si>
    <x:t xml:space="preserve">1024×1024 tile</x:t>
  </x:si>
  <x:si>
    <x:t xml:space="preserve">Manuscript frame</x:t>
  </x:si>
  <x:si>
    <x:t xml:space="preserve">Low contrast, no heavy stains behind dialogue.</x:t>
  </x:si>
  <x:si>
    <x:t xml:space="preserve">Tablet glass / bezel reference</x:t>
  </x:si>
  <x:si>
    <x:t xml:space="preserve">frame-tablet-reference.png</x:t>
  </x:si>
  <x:si>
    <x:t xml:space="preserve">Reference or transparent PNG</x:t>
  </x:si>
  <x:si>
    <x:t xml:space="preserve">Refines tablet frame proportions/material</x:t>
  </x:si>
  <x:si>
    <x:t xml:space="preserve">Reference / original</x:t>
  </x:si>
  <x:si>
    <x:t xml:space="preserve">Likely implemented mostly in CSS.</x:t>
  </x:si>
  <x:si>
    <x:t xml:space="preserve">Terminal overlay / scanline reference</x:t>
  </x:si>
  <x:si>
    <x:t xml:space="preserve">overlay-terminal-reference.png</x:t>
  </x:si>
  <x:si>
    <x:t xml:space="preserve">Reference or tile</x:t>
  </x:si>
  <x:si>
    <x:t xml:space="preserve">Terminal atmosphere</x:t>
  </x:si>
  <x:si>
    <x:t xml:space="preserve">Likely implemented as CSS, not a required asset.</x:t>
  </x:si>
  <x:si>
    <x:t xml:space="preserve">UI</x:t>
  </x:si>
  <x:si>
    <x:t xml:space="preserve">Sidebar / command-panel reference</x:t>
  </x:si>
  <x:si>
    <x:t xml:space="preserve">reference-sidebar-01.*</x:t>
  </x:si>
  <x:si>
    <x:t xml:space="preserve">Direction for collapsible character/settings sidebars</x:t>
  </x:si>
  <x:si>
    <x:t xml:space="preserve">Especially useful if you have a specific SillyTavern-like density in mind. (you can see them in the moodbar)</x:t>
  </x:si>
  <x:si>
    <x:t xml:space="preserve">Chat message / typography reference</x:t>
  </x:si>
  <x:si>
    <x:t xml:space="preserve">reference-chat-01.*</x:t>
  </x:si>
  <x:si>
    <x:t xml:space="preserve">Bubble shape, spacing, speaker labeling, action styling</x:t>
  </x:si>
  <x:si>
    <x:t xml:space="preserve">Show examples you consider clean and immersive. (you can see them in the moodbar)</x:t>
  </x:si>
  <x:si>
    <x:t xml:space="preserve">Decorative</x:t>
  </x:si>
  <x:si>
    <x:t xml:space="preserve">Paper grain / glass grain / vignette pack</x:t>
  </x:si>
  <x:si>
    <x:t xml:space="preserve">fx-surface-pack.*</x:t>
  </x:si>
  <x:si>
    <x:t xml:space="preserve">Seamless WebP/PNG</x:t>
  </x:si>
  <x:si>
    <x:t xml:space="preserve">Optional atmosphere layer across themes</x:t>
  </x:si>
  <x:si>
    <x:t xml:space="preserve">A few subtle textures are more useful than many strong effects. (Do them with CSS)</x:t>
  </x:si>
  <x:si>
    <x:t xml:space="preserve">Cursor / Marker</x:t>
  </x:si>
  <x:si>
    <x:t xml:space="preserve">Custom pointer or writing cursor concept</x:t>
  </x:si>
  <x:si>
    <x:t xml:space="preserve">cursor-writing.svg</x:t>
  </x:si>
  <x:si>
    <x:t xml:space="preserve">SVG / PNG, 32–64 px</x:t>
  </x:si>
  <x:si>
    <x:t xml:space="preserve">Optional diegetic interaction detail</x:t>
  </x:si>
  <x:si>
    <x:t xml:space="preserve">Do not prioritize before core layout.</x:t>
  </x:si>
  <x:si>
    <x:t xml:space="preserve">Editor Tool</x:t>
  </x:si>
  <x:si>
    <x:t xml:space="preserve">Reference</x:t>
  </x:si>
  <x:si>
    <x:t xml:space="preserve">Example layout you want to reproduce</x:t>
  </x:si>
  <x:si>
    <x:t xml:space="preserve">editor-layout-reference.*</x:t>
  </x:si>
  <x:si>
    <x:t xml:space="preserve">Screenshot / annotated screenshot</x:t>
  </x:si>
  <x:si>
    <x:t xml:space="preserve">External layout editor validation target</x:t>
  </x:si>
  <x:si>
    <x:t xml:space="preserve">Mark where sidebars, chat, portrait and controls should sit. (the moodbar has it)</x:t>
  </x:si>
  <x:si>
    <x:t xml:space="preserve">Preferred snapping/grid behavior</x:t>
  </x:si>
  <x:si>
    <x:t xml:space="preserve">editor-grid-notes.txt</x:t>
  </x:si>
  <x:si>
    <x:t xml:space="preserve">Text / screenshot</x:t>
  </x:si>
  <x:si>
    <x:t xml:space="preserve">Defines move/resize editor ergonomics</x:t>
  </x:si>
  <x:si>
    <x:t xml:space="preserve">N/A</x:t>
  </x:si>
  <x:si>
    <x:t xml:space="preserve">Examples: 8px grid, freeform, edge snapping, safe zones.  (Drag, snap, rotate, scale, show/hide grid for snap, or else free)</x:t>
  </x:si>
  <x:si>
    <x:t xml:space="preserve">Protean Workspace — Asset Summary</x:t>
  </x:si>
  <x:si>
    <x:t xml:space="preserve">Total</x:t>
  </x:si>
  <x:si>
    <x:t xml:space="preserve">In progress</x:t>
  </x:si>
  <x:si>
    <x:t xml:space="preserve">Not started</x:t>
  </x:si>
  <x:si>
    <x:t xml:space="preserve">Completion %</x:t>
  </x:si>
  <x:si>
    <x:t xml:space="preserve">Meaning</x:t>
  </x:si>
  <x:si>
    <x:t xml:space="preserve">Needed for the first polished visual pass</x:t>
  </x:si>
  <x:si>
    <x:t xml:space="preserve">Strongly improves immersion / consistency</x:t>
  </x:si>
  <x:si>
    <x:t xml:space="preserve">Can be added after the main design is stable</x:t>
  </x:si>
  <x:si>
    <x:t xml:space="preserve">Protean Workspace — Design Decisions</x:t>
  </x:si>
  <x:si>
    <x:t xml:space="preserve">Decision</x:t>
  </x:si>
  <x:si>
    <x:t xml:space="preserve">Your choice</x:t>
  </x:si>
  <x:si>
    <x:t xml:space="preserve">Recommended default</x:t>
  </x:si>
  <x:si>
    <x:t xml:space="preserve">Overall visual mood</x:t>
  </x:si>
  <x:si>
    <x:t xml:space="preserve">Diegetic + cinematic, but restrained</x:t>
  </x:si>
  <x:si>
    <x:t xml:space="preserve">The UI can feel like an object/world without sacrificing readability.</x:t>
  </x:si>
  <x:si>
    <x:t xml:space="preserve">Default frame</x:t>
  </x:si>
  <x:si>
    <x:t xml:space="preserve">Notebook</x:t>
  </x:si>
  <x:si>
    <x:t xml:space="preserve">Tablet / Terminal / Manuscript remain selectable.</x:t>
  </x:si>
  <x:si>
    <x:t xml:space="preserve">Default background</x:t>
  </x:si>
  <x:si>
    <x:t xml:space="preserve">Protean default</x:t>
  </x:si>
  <x:si>
    <x:t xml:space="preserve">Franchise backgrounds can follow the selected character.</x:t>
  </x:si>
  <x:si>
    <x:t xml:space="preserve">Sidebar behavior</x:t>
  </x:si>
  <x:si>
    <x:t xml:space="preserve">Collapsible + auto-hide option</x:t>
  </x:si>
  <x:si>
    <x:t xml:space="preserve">Both left and right bars should be independently hideable.</x:t>
  </x:si>
  <x:si>
    <x:t xml:space="preserve">Character portrait treatment</x:t>
  </x:si>
  <x:si>
    <x:t xml:space="preserve">Tall portrait + soft crop</x:t>
  </x:si>
  <x:si>
    <x:t xml:space="preserve">Avoid tiny circular avatars as the primary visual.</x:t>
  </x:si>
  <x:si>
    <x:t xml:space="preserve">Dialogue presentation</x:t>
  </x:si>
  <x:si>
    <x:t xml:space="preserve">Clean transcript, no heavy bubbles</x:t>
  </x:si>
  <x:si>
    <x:t xml:space="preserve">"" = speech; ** = action; () = dev will be visually distinct.</x:t>
  </x:si>
  <x:si>
    <x:t xml:space="preserve">Action text style</x:t>
  </x:si>
  <x:si>
    <x:t xml:space="preserve">Italic / lower contrast</x:t>
  </x:si>
  <x:si>
    <x:t xml:space="preserve">Used for **action** syntax.</x:t>
  </x:si>
  <x:si>
    <x:t xml:space="preserve">Dev command style</x:t>
  </x:si>
  <x:si>
    <x:t xml:space="preserve">Monospace / accent badge</x:t>
  </x:si>
  <x:si>
    <x:t xml:space="preserve">Used for (dev) syntax; never confused with roleplay text.</x:t>
  </x:si>
  <x:si>
    <x:t xml:space="preserve">Motion intensity</x:t>
  </x:si>
  <x:si>
    <x:t xml:space="preserve">Subtle</x:t>
  </x:si>
  <x:si>
    <x:t xml:space="preserve">Use stronger animation for transitions, not every control.</x:t>
  </x:si>
  <x:si>
    <x:t xml:space="preserve">Editor grid</x:t>
  </x:si>
  <x:si>
    <x:t xml:space="preserve">8 px + snap-to-edges</x:t>
  </x:si>
  <x:si>
    <x:t xml:space="preserve">Editor lives in tools/, outside runtime architecture.</x:t>
  </x:si>
  <x:si>
    <x:t xml:space="preserve">Editor export</x:t>
  </x:si>
  <x:si>
    <x:t xml:space="preserve">layout.json + theme tokens</x:t>
  </x:si>
  <x:si>
    <x:t xml:space="preserve">The production app only reads validated layout data.</x:t>
  </x:si>
  <x:si>
    <x:t xml:space="preserve">Protean Workspace — Proposed Frontend Stack</x:t>
  </x:si>
  <x:si>
    <x:t xml:space="preserve">Layer</x:t>
  </x:si>
  <x:si>
    <x:t xml:space="preserve">Choice</x:t>
  </x:si>
  <x:si>
    <x:t xml:space="preserve">Why</x:t>
  </x:si>
  <x:si>
    <x:t xml:space="preserve">Boundary</x:t>
  </x:si>
  <x:si>
    <x:t xml:space="preserve">Official source</x:t>
  </x:si>
  <x:si>
    <x:t xml:space="preserve">UI runtime</x:t>
  </x:si>
  <x:si>
    <x:t xml:space="preserve">React 19.2 + TypeScript</x:t>
  </x:si>
  <x:si>
    <x:t xml:space="preserve">Component boundaries, rich ecosystem, ideal for an interactive chat studio</x:t>
  </x:si>
  <x:si>
    <x:t xml:space="preserve">Frontend only; backend API stays unchanged</x:t>
  </x:si>
  <x:si>
    <x:t xml:space="preserve">https://react.dev/versions</x:t>
  </x:si>
  <x:si>
    <x:t xml:space="preserve">Build tool</x:t>
  </x:si>
  <x:si>
    <x:t xml:space="preserve">Vite 8.x</x:t>
  </x:si>
  <x:si>
    <x:t xml:space="preserve">Fast dev/build pipeline and natural fit for a local SPA</x:t>
  </x:si>
  <x:si>
    <x:t xml:space="preserve">Build-time only</x:t>
  </x:si>
  <x:si>
    <x:t xml:space="preserve">https://vite.dev/releases</x:t>
  </x:si>
  <x:si>
    <x:t xml:space="preserve">Styling</x:t>
  </x:si>
  <x:si>
    <x:t xml:space="preserve">Tailwind CSS 4.3 + CSS variables</x:t>
  </x:si>
  <x:si>
    <x:t xml:space="preserve">Fast layout iteration while preserving theme tokens and diegetic custom CSS</x:t>
  </x:si>
  <x:si>
    <x:t xml:space="preserve">Presentation only</x:t>
  </x:si>
  <x:si>
    <x:t xml:space="preserve">https://tailwindcss.com/docs/installation/framework-guides</x:t>
  </x:si>
  <x:si>
    <x:t xml:space="preserve">UI primitives</x:t>
  </x:si>
  <x:si>
    <x:t xml:space="preserve">shadcn/ui + Base UI/Radix primitives</x:t>
  </x:si>
  <x:si>
    <x:t xml:space="preserve">Clean accessible controls we own and can visually restyle</x:t>
  </x:si>
  <x:si>
    <x:t xml:space="preserve">No business logic inside primitives</x:t>
  </x:si>
  <x:si>
    <x:t xml:space="preserve">https://ui.shadcn.com/docs</x:t>
  </x:si>
  <x:si>
    <x:t xml:space="preserve">Icons</x:t>
  </x:si>
  <x:si>
    <x:t xml:space="preserve">Lucide React</x:t>
  </x:si>
  <x:si>
    <x:t xml:space="preserve">One coherent icon family; tree-shakable SVG components</x:t>
  </x:si>
  <x:si>
    <x:t xml:space="preserve">Icons only; replaces mismatched glyphs</x:t>
  </x:si>
  <x:si>
    <x:t xml:space="preserve">https://lucide.dev/guide/react</x:t>
  </x:si>
  <x:si>
    <x:t xml:space="preserve">Animation</x:t>
  </x:si>
  <x:si>
    <x:t xml:space="preserve">Motion for React</x:t>
  </x:si>
  <x:si>
    <x:t xml:space="preserve">Transitions, drawers, layout animation, gestures where CSS is not enough</x:t>
  </x:si>
  <x:si>
    <x:t xml:space="preserve">Presentation/interaction only</x:t>
  </x:si>
  <x:si>
    <x:t xml:space="preserve">https://motion.dev/docs/react</x:t>
  </x:si>
  <x:si>
    <x:t xml:space="preserve">Client state</x:t>
  </x:si>
  <x:si>
    <x:t xml:space="preserve">Zustand</x:t>
  </x:si>
  <x:si>
    <x:t xml:space="preserve">Small store for UI state such as hidden sidebars, active theme, editor preview</x:t>
  </x:si>
  <x:si>
    <x:t xml:space="preserve">No server authority or secrets</x:t>
  </x:si>
  <x:si>
    <x:t xml:space="preserve">https://zustand.docs.pmnd.rs/learn/getting-started/introduction</x:t>
  </x:si>
  <x:si>
    <x:t xml:space="preserve">External layout editor</x:t>
  </x:si>
  <x:si>
    <x:t xml:space="preserve">react-moveable</x:t>
  </x:si>
  <x:si>
    <x:t xml:space="preserve">Drag, resize, rotate, group and snapping; explicitly designed for editors</x:t>
  </x:si>
  <x:si>
    <x:t xml:space="preserve">tools/layout-editor only; exports validated layout schema</x:t>
  </x:si>
  <x:si>
    <x:t xml:space="preserve">https://github.com/daybrush/moveable</x:t>
  </x:si>
</x:sst>
</file>

<file path=xl/styles.xml><?xml version="1.0" encoding="utf-8"?>
<x:styleSheet xmlns:x="http://schemas.openxmlformats.org/spreadsheetml/2006/main">
  <x:fonts count="5">
    <x:font>
      <x:sz val="11"/>
      <x:color rgb="FF000000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374151"/>
      <x:name val="Carlito"/>
    </x:font>
    <x:font>
      <x:sz val="11"/>
      <x:color theme="1"/>
      <x:name val="Carlito"/>
    </x:font>
  </x:fonts>
  <x:fills count="8">
    <x:fill>
      <x:patternFill patternType="none"/>
    </x:fill>
    <x:fill>
      <x:patternFill patternType="lightGray"/>
    </x:fill>
    <x:fill>
      <x:patternFill patternType="solid">
        <x:fgColor rgb="FF171717"/>
      </x:patternFill>
    </x:fill>
    <x:fill>
      <x:patternFill patternType="solid">
        <x:fgColor rgb="FF27272A"/>
      </x:patternFill>
    </x:fill>
    <x:fill>
      <x:patternFill patternType="solid">
        <x:fgColor rgb="FFF3F4F6"/>
      </x:patternFill>
    </x:fill>
    <x:fill>
      <x:patternFill patternType="solid">
        <x:fgColor rgb="FF171717"/>
      </x:patternFill>
    </x:fill>
    <x:fill>
      <x:patternFill patternType="solid">
        <x:fgColor rgb="FFF3F4F6"/>
      </x:patternFill>
    </x:fill>
    <x:fill>
      <x:patternFill patternType="solid">
        <x:fgColor rgb="FF27272A"/>
      </x:patternFill>
    </x:fill>
  </x:fills>
  <x:borders count="1">
    <x:border/>
  </x:borders>
  <x:cellStyleXfs count="1">
    <x:xf numFmtId="0" fontId="0" fillId="0" borderId="0" applyFont="1" applyAlignment="1"/>
  </x:cellStyleXfs>
  <x:cellXfs count="33">
    <x:xf numFmtId="0" fontId="0" fillId="0" borderId="0" xfId="0" applyFont="1" applyAlignment="1">
      <x:alignment vertical="bottom" wrapText="0"/>
    </x:xf>
    <x:xf numFmtId="0" fontId="1" fillId="2" borderId="0" xfId="0" applyFont="1" applyFill="1"/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/>
    <x:xf numFmtId="0" fontId="2" fillId="3" borderId="0" xfId="0" applyFont="1" applyFill="1" applyAlignment="1">
      <x:alignment horizontal="center" wrapText="1"/>
    </x:xf>
    <x:xf numFmtId="0" fontId="3" fillId="4" borderId="0" xfId="0" applyFont="1" applyFill="1" applyAlignment="1">
      <x:alignment wrapText="1"/>
    </x:xf>
    <x:xf numFmtId="0" fontId="4" fillId="0" borderId="0" xfId="0" applyFont="1" applyAlignment="1">
      <x:alignment wrapText="1"/>
    </x:xf>
    <x:xf numFmtId="0" fontId="2" fillId="3" borderId="0" xfId="0" applyFont="1" applyFill="1" applyAlignment="1">
      <x:alignment horizontal="center" vertical="center" wrapText="1"/>
    </x:xf>
    <x:xf numFmtId="0" fontId="4" fillId="0" borderId="0" xfId="0" applyFont="1" applyAlignment="1">
      <x:alignment wrapText="1"/>
    </x:xf>
    <x:xf numFmtId="9" fontId="4" fillId="0" borderId="0" xfId="0" applyNumberFormat="1" applyFont="1" applyAlignment="1">
      <x:alignment wrapText="1"/>
    </x:xf>
    <x:xf numFmtId="0" fontId="2" fillId="3" borderId="0" xfId="0" applyFont="1" applyFill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9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bottom" wrapText="0"/>
    </x:xf>
    <x:xf numFmtId="0" fontId="1" fillId="5" borderId="0" xfId="0" applyNumberFormat="1" applyFont="1" applyFill="1" applyBorder="1" applyAlignment="1">
      <x:alignment vertical="bottom" wrapText="0"/>
    </x:xf>
    <x:xf numFmtId="0" fontId="1" fillId="5" borderId="0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3" fillId="6" borderId="0" xfId="0" applyNumberFormat="1" applyFont="1" applyFill="1" applyBorder="1" applyAlignment="1">
      <x:alignment vertical="bottom" wrapText="0"/>
    </x:xf>
    <x:xf numFmtId="0" fontId="3" fillId="6" borderId="0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2" fillId="7" borderId="0" xfId="0" applyNumberFormat="1" applyFont="1" applyFill="1" applyBorder="1" applyAlignment="1">
      <x:alignment vertical="bottom" wrapText="0"/>
    </x:xf>
    <x:xf numFmtId="0" fontId="2" fillId="7" borderId="0" xfId="0" applyNumberFormat="1" applyFont="1" applyFill="1" applyBorder="1" applyAlignment="1">
      <x:alignment vertical="bottom" wrapText="1"/>
    </x:xf>
    <x:xf numFmtId="0" fontId="2" fillId="7" borderId="0" xfId="0" applyNumberFormat="1" applyFont="1" applyFill="1" applyBorder="1" applyAlignment="1">
      <x:alignment horizontal="center" vertical="bottom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>
          <x:bgColor rgb="FFDCFCE7"/>
        </x:patternFill>
      </x:fill>
      <x:border/>
    </x:dxf>
    <x:dxf>
      <x:font>
        <x:color rgb="FF92400E"/>
      </x:font>
      <x:fill>
        <x:patternFill>
          <x:bgColor rgb="FFFEF3C7"/>
        </x:patternFill>
      </x:fill>
      <x:border/>
    </x:dxf>
    <x:dxf>
      <x:font>
        <x:color rgb="FF4B5563"/>
      </x:font>
      <x:fill>
        <x:patternFill>
          <x:bgColor rgb="FFF3F4F6"/>
        </x:patternFill>
      </x:fill>
      <x:border/>
    </x:dxf>
    <x:dxf>
      <x:font>
        <x:b/>
        <x:color rgb="FF991B1B"/>
      </x:font>
      <x:fill>
        <x:patternFill>
          <x:bgColor rgb="FFFEE2E2"/>
        </x:patternFill>
      </x:fill>
      <x:border/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f1240674a4b32" /><Relationship Type="http://schemas.openxmlformats.org/officeDocument/2006/relationships/theme" Target="/xl/theme/theme1.xml" Id="R502d4fd73e0e4927" /><Relationship Type="http://schemas.openxmlformats.org/officeDocument/2006/relationships/sharedStrings" Target="/xl/sharedStrings.xml" Id="Rcc2a830fbe9e4e21" /><Relationship Type="http://schemas.openxmlformats.org/officeDocument/2006/relationships/worksheet" Target="/xl/worksheets/sheet1.xml" Id="R6b636392de15473c" /><Relationship Type="http://schemas.openxmlformats.org/officeDocument/2006/relationships/worksheet" Target="/xl/worksheets/sheet2.xml" Id="R245606cc7f154e35" /><Relationship Type="http://schemas.openxmlformats.org/officeDocument/2006/relationships/worksheet" Target="/xl/worksheets/sheet3.xml" Id="Rb021ec1fe6eb4040" /><Relationship Type="http://schemas.openxmlformats.org/officeDocument/2006/relationships/worksheet" Target="/xl/worksheets/sheet4.xml" Id="R1827e9eeef954cd3" /><Relationship Type="http://schemas.openxmlformats.org/officeDocument/2006/relationships/worksheet" Target="/xl/worksheets/sheet5.xml" Id="R8785984276464c5c" /><Relationship Type="http://schemas.openxmlformats.org/officeDocument/2006/relationships/worksheet" Target="/xl/worksheets/sheet6.xml" Id="R18eb4f33b1134a7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7" customWidth="1"/>
    <x:col min="3" max="3" width="18" customWidth="1"/>
    <x:col min="4" max="4" width="34" customWidth="1"/>
    <x:col min="5" max="5" width="29" customWidth="1"/>
    <x:col min="6" max="6" width="27" customWidth="1"/>
    <x:col min="7" max="7" width="31" customWidth="1"/>
    <x:col min="8" max="8" width="14" customWidth="1"/>
    <x:col min="9" max="9" width="16" customWidth="1"/>
    <x:col min="10" max="10" width="27" customWidth="1"/>
    <x:col min="11" max="11" width="42" customWidth="1"/>
    <x:col min="12" max="26" width="8.630000114440918" customWidth="1"/>
  </x:cols>
  <x:sheetData>
    <x:row r="1" ht="30" customHeight="1">
      <x:c r="A1" s="2" t="s">
        <x:v>0</x:v>
      </x:c>
    </x:row>
    <x:row r="2">
      <x:c r="A2" s="5" t="s">
        <x:v>1</x:v>
      </x:c>
    </x:row>
    <x:row r="4">
      <x:c r="A4" s="7" t="s">
        <x:v>2</x:v>
      </x:c>
      <x:c r="B4" s="7" t="s">
        <x:v>3</x:v>
      </x:c>
      <x:c r="C4" s="7" t="s">
        <x:v>4</x:v>
      </x:c>
      <x:c r="D4" s="7" t="s">
        <x:v>5</x:v>
      </x:c>
      <x:c r="E4" s="7" t="s">
        <x:v>6</x:v>
      </x:c>
      <x:c r="F4" s="7" t="s">
        <x:v>7</x:v>
      </x:c>
      <x:c r="G4" s="7" t="s">
        <x:v>8</x:v>
      </x:c>
      <x:c r="H4" s="7" t="s">
        <x:v>9</x:v>
      </x:c>
      <x:c r="I4" s="7" t="s">
        <x:v>10</x:v>
      </x:c>
      <x:c r="J4" s="7" t="s">
        <x:v>11</x:v>
      </x:c>
      <x:c r="K4" s="7" t="s">
        <x:v>12</x:v>
      </x:c>
    </x:row>
    <x:row r="5">
      <x:c r="A5" s="8" t="s">
        <x:v>13</x:v>
      </x:c>
      <x:c r="B5" s="6" t="s">
        <x:v>14</x:v>
      </x:c>
      <x:c r="C5" s="6" t="s">
        <x:v>15</x:v>
      </x:c>
      <x:c r="D5" s="6" t="s">
        <x:v>16</x:v>
      </x:c>
      <x:c r="E5" s="6" t="s">
        <x:v>17</x:v>
      </x:c>
      <x:c r="F5" s="6" t="s">
        <x:v>18</x:v>
      </x:c>
      <x:c r="G5" s="6" t="s">
        <x:v>19</x:v>
      </x:c>
      <x:c r="H5" s="6" t="s">
        <x:v>20</x:v>
      </x:c>
      <x:c r="I5" s="6" t="s">
        <x:v>21</x:v>
      </x:c>
      <x:c r="J5" s="6" t="s">
        <x:v>22</x:v>
      </x:c>
      <x:c r="K5" s="6" t="s">
        <x:v>23</x:v>
      </x:c>
    </x:row>
    <x:row r="6">
      <x:c r="A6" s="8" t="s">
        <x:v>13</x:v>
      </x:c>
      <x:c r="B6" s="6" t="s">
        <x:v>14</x:v>
      </x:c>
      <x:c r="C6" s="6" t="s">
        <x:v>15</x:v>
      </x:c>
      <x:c r="D6" s="6" t="s">
        <x:v>24</x:v>
      </x:c>
      <x:c r="E6" s="6" t="s">
        <x:v>25</x:v>
      </x:c>
      <x:c r="F6" s="6" t="s">
        <x:v>26</x:v>
      </x:c>
      <x:c r="G6" s="6" t="s">
        <x:v>27</x:v>
      </x:c>
      <x:c r="H6" s="6" t="s">
        <x:v>28</x:v>
      </x:c>
      <x:c r="I6" s="6" t="s">
        <x:v>29</x:v>
      </x:c>
      <x:c r="J6" s="6" t="s">
        <x:v>22</x:v>
      </x:c>
      <x:c r="K6" s="6" t="s">
        <x:v>30</x:v>
      </x:c>
    </x:row>
    <x:row r="7">
      <x:c r="A7" s="8" t="s">
        <x:v>13</x:v>
      </x:c>
      <x:c r="B7" s="6" t="s">
        <x:v>14</x:v>
      </x:c>
      <x:c r="C7" s="6" t="s">
        <x:v>31</x:v>
      </x:c>
      <x:c r="D7" s="6" t="s">
        <x:v>32</x:v>
      </x:c>
      <x:c r="E7" s="6" t="s">
        <x:v>33</x:v>
      </x:c>
      <x:c r="F7" s="6" t="s">
        <x:v>34</x:v>
      </x:c>
      <x:c r="G7" s="6" t="s">
        <x:v>35</x:v>
      </x:c>
      <x:c r="H7" s="6" t="s">
        <x:v>20</x:v>
      </x:c>
      <x:c r="I7" s="6" t="s">
        <x:v>21</x:v>
      </x:c>
      <x:c r="J7" s="6" t="s">
        <x:v>36</x:v>
      </x:c>
      <x:c r="K7" s="6" t="s">
        <x:v>37</x:v>
      </x:c>
    </x:row>
    <x:row r="8">
      <x:c r="A8" s="8" t="s">
        <x:v>38</x:v>
      </x:c>
      <x:c r="B8" s="6" t="s">
        <x:v>14</x:v>
      </x:c>
      <x:c r="C8" s="6" t="s">
        <x:v>39</x:v>
      </x:c>
      <x:c r="D8" s="6" t="s">
        <x:v>40</x:v>
      </x:c>
      <x:c r="E8" s="6" t="s">
        <x:v>41</x:v>
      </x:c>
      <x:c r="F8" s="6" t="s">
        <x:v>42</x:v>
      </x:c>
      <x:c r="G8" s="6" t="s">
        <x:v>43</x:v>
      </x:c>
      <x:c r="H8" s="6" t="s">
        <x:v>28</x:v>
      </x:c>
      <x:c r="I8" s="6" t="s">
        <x:v>29</x:v>
      </x:c>
      <x:c r="J8" s="6" t="s">
        <x:v>44</x:v>
      </x:c>
      <x:c r="K8" s="8" t="s">
        <x:v>45</x:v>
      </x:c>
    </x:row>
    <x:row r="9">
      <x:c r="A9" s="8" t="s">
        <x:v>13</x:v>
      </x:c>
      <x:c r="B9" s="6" t="s">
        <x:v>46</x:v>
      </x:c>
      <x:c r="C9" s="6" t="s">
        <x:v>47</x:v>
      </x:c>
      <x:c r="D9" s="6" t="s">
        <x:v>48</x:v>
      </x:c>
      <x:c r="E9" s="6" t="s">
        <x:v>49</x:v>
      </x:c>
      <x:c r="F9" s="6" t="s">
        <x:v>50</x:v>
      </x:c>
      <x:c r="G9" s="6" t="s">
        <x:v>51</x:v>
      </x:c>
      <x:c r="H9" s="6" t="s">
        <x:v>20</x:v>
      </x:c>
      <x:c r="I9" s="6" t="s">
        <x:v>21</x:v>
      </x:c>
      <x:c r="J9" s="6" t="s">
        <x:v>52</x:v>
      </x:c>
      <x:c r="K9" s="6" t="s">
        <x:v>53</x:v>
      </x:c>
    </x:row>
    <x:row r="10">
      <x:c r="A10" s="8" t="s">
        <x:v>13</x:v>
      </x:c>
      <x:c r="B10" s="6" t="s">
        <x:v>46</x:v>
      </x:c>
      <x:c r="C10" s="6" t="s">
        <x:v>47</x:v>
      </x:c>
      <x:c r="D10" s="6" t="s">
        <x:v>54</x:v>
      </x:c>
      <x:c r="E10" s="6" t="s">
        <x:v>55</x:v>
      </x:c>
      <x:c r="F10" s="6" t="s">
        <x:v>56</x:v>
      </x:c>
      <x:c r="G10" s="6" t="s">
        <x:v>51</x:v>
      </x:c>
      <x:c r="H10" s="6" t="s">
        <x:v>28</x:v>
      </x:c>
      <x:c r="I10" s="6" t="s">
        <x:v>29</x:v>
      </x:c>
      <x:c r="J10" s="6" t="s">
        <x:v>52</x:v>
      </x:c>
      <x:c r="K10" s="6" t="s">
        <x:v>57</x:v>
      </x:c>
    </x:row>
    <x:row r="11">
      <x:c r="A11" s="8" t="s">
        <x:v>13</x:v>
      </x:c>
      <x:c r="B11" s="6" t="s">
        <x:v>46</x:v>
      </x:c>
      <x:c r="C11" s="6" t="s">
        <x:v>47</x:v>
      </x:c>
      <x:c r="D11" s="6" t="s">
        <x:v>58</x:v>
      </x:c>
      <x:c r="E11" s="6" t="s">
        <x:v>59</x:v>
      </x:c>
      <x:c r="F11" s="6" t="s">
        <x:v>56</x:v>
      </x:c>
      <x:c r="G11" s="6" t="s">
        <x:v>51</x:v>
      </x:c>
      <x:c r="H11" s="6" t="s">
        <x:v>20</x:v>
      </x:c>
      <x:c r="I11" s="6" t="s">
        <x:v>21</x:v>
      </x:c>
      <x:c r="J11" s="6" t="s">
        <x:v>52</x:v>
      </x:c>
      <x:c r="K11" s="6" t="s">
        <x:v>60</x:v>
      </x:c>
    </x:row>
    <x:row r="12">
      <x:c r="A12" s="8" t="s">
        <x:v>13</x:v>
      </x:c>
      <x:c r="B12" s="6" t="s">
        <x:v>46</x:v>
      </x:c>
      <x:c r="C12" s="6" t="s">
        <x:v>47</x:v>
      </x:c>
      <x:c r="D12" s="6" t="s">
        <x:v>61</x:v>
      </x:c>
      <x:c r="E12" s="6" t="s">
        <x:v>62</x:v>
      </x:c>
      <x:c r="F12" s="6" t="s">
        <x:v>56</x:v>
      </x:c>
      <x:c r="G12" s="6" t="s">
        <x:v>51</x:v>
      </x:c>
      <x:c r="H12" s="6" t="s">
        <x:v>28</x:v>
      </x:c>
      <x:c r="I12" s="6" t="s">
        <x:v>29</x:v>
      </x:c>
      <x:c r="J12" s="6" t="s">
        <x:v>52</x:v>
      </x:c>
      <x:c r="K12" s="6" t="s">
        <x:v>60</x:v>
      </x:c>
    </x:row>
    <x:row r="13">
      <x:c r="A13" s="8" t="s">
        <x:v>13</x:v>
      </x:c>
      <x:c r="B13" s="6" t="s">
        <x:v>46</x:v>
      </x:c>
      <x:c r="C13" s="6" t="s">
        <x:v>47</x:v>
      </x:c>
      <x:c r="D13" s="6" t="s">
        <x:v>63</x:v>
      </x:c>
      <x:c r="E13" s="6" t="s">
        <x:v>64</x:v>
      </x:c>
      <x:c r="F13" s="6" t="s">
        <x:v>56</x:v>
      </x:c>
      <x:c r="G13" s="6" t="s">
        <x:v>51</x:v>
      </x:c>
      <x:c r="H13" s="6" t="s">
        <x:v>28</x:v>
      </x:c>
      <x:c r="I13" s="6" t="s">
        <x:v>29</x:v>
      </x:c>
      <x:c r="J13" s="6" t="s">
        <x:v>52</x:v>
      </x:c>
      <x:c r="K13" s="6" t="s">
        <x:v>60</x:v>
      </x:c>
    </x:row>
    <x:row r="14">
      <x:c r="A14" s="8" t="s">
        <x:v>13</x:v>
      </x:c>
      <x:c r="B14" s="6" t="s">
        <x:v>46</x:v>
      </x:c>
      <x:c r="C14" s="6" t="s">
        <x:v>47</x:v>
      </x:c>
      <x:c r="D14" s="6" t="s">
        <x:v>65</x:v>
      </x:c>
      <x:c r="E14" s="6" t="s">
        <x:v>66</x:v>
      </x:c>
      <x:c r="F14" s="6" t="s">
        <x:v>56</x:v>
      </x:c>
      <x:c r="G14" s="6" t="s">
        <x:v>51</x:v>
      </x:c>
      <x:c r="H14" s="6" t="s">
        <x:v>28</x:v>
      </x:c>
      <x:c r="I14" s="6" t="s">
        <x:v>29</x:v>
      </x:c>
      <x:c r="J14" s="6" t="s">
        <x:v>52</x:v>
      </x:c>
      <x:c r="K14" s="6" t="s">
        <x:v>60</x:v>
      </x:c>
    </x:row>
    <x:row r="15">
      <x:c r="A15" s="8" t="s">
        <x:v>13</x:v>
      </x:c>
      <x:c r="B15" s="6" t="s">
        <x:v>46</x:v>
      </x:c>
      <x:c r="C15" s="6" t="s">
        <x:v>47</x:v>
      </x:c>
      <x:c r="D15" s="6" t="s">
        <x:v>67</x:v>
      </x:c>
      <x:c r="E15" s="6" t="s">
        <x:v>68</x:v>
      </x:c>
      <x:c r="F15" s="6" t="s">
        <x:v>56</x:v>
      </x:c>
      <x:c r="G15" s="6" t="s">
        <x:v>51</x:v>
      </x:c>
      <x:c r="H15" s="6" t="s">
        <x:v>29</x:v>
      </x:c>
      <x:c r="I15" s="6" t="s">
        <x:v>29</x:v>
      </x:c>
      <x:c r="J15" s="6" t="s">
        <x:v>52</x:v>
      </x:c>
      <x:c r="K15" s="6" t="s">
        <x:v>69</x:v>
      </x:c>
    </x:row>
    <x:row r="16">
      <x:c r="A16" s="8" t="s">
        <x:v>13</x:v>
      </x:c>
      <x:c r="B16" s="6" t="s">
        <x:v>70</x:v>
      </x:c>
      <x:c r="C16" s="6" t="s">
        <x:v>71</x:v>
      </x:c>
      <x:c r="D16" s="6" t="s">
        <x:v>72</x:v>
      </x:c>
      <x:c r="E16" s="6" t="s">
        <x:v>73</x:v>
      </x:c>
      <x:c r="F16" s="6" t="s">
        <x:v>74</x:v>
      </x:c>
      <x:c r="G16" s="6" t="s">
        <x:v>75</x:v>
      </x:c>
      <x:c r="H16" s="6" t="s">
        <x:v>20</x:v>
      </x:c>
      <x:c r="I16" s="6" t="s">
        <x:v>21</x:v>
      </x:c>
      <x:c r="J16" s="6" t="s">
        <x:v>52</x:v>
      </x:c>
      <x:c r="K16" s="6" t="s">
        <x:v>76</x:v>
      </x:c>
    </x:row>
    <x:row r="17">
      <x:c r="A17" s="8" t="s">
        <x:v>13</x:v>
      </x:c>
      <x:c r="B17" s="6" t="s">
        <x:v>70</x:v>
      </x:c>
      <x:c r="C17" s="6" t="s">
        <x:v>71</x:v>
      </x:c>
      <x:c r="D17" s="6" t="s">
        <x:v>77</x:v>
      </x:c>
      <x:c r="E17" s="6" t="s">
        <x:v>78</x:v>
      </x:c>
      <x:c r="F17" s="6" t="s">
        <x:v>79</x:v>
      </x:c>
      <x:c r="G17" s="6" t="s">
        <x:v>80</x:v>
      </x:c>
      <x:c r="H17" s="6" t="s">
        <x:v>28</x:v>
      </x:c>
      <x:c r="I17" s="6" t="s">
        <x:v>29</x:v>
      </x:c>
      <x:c r="J17" s="6" t="s">
        <x:v>52</x:v>
      </x:c>
      <x:c r="K17" s="6" t="s">
        <x:v>81</x:v>
      </x:c>
    </x:row>
    <x:row r="18">
      <x:c r="A18" s="8" t="s">
        <x:v>13</x:v>
      </x:c>
      <x:c r="B18" s="6" t="s">
        <x:v>70</x:v>
      </x:c>
      <x:c r="C18" s="6" t="s">
        <x:v>71</x:v>
      </x:c>
      <x:c r="D18" s="6" t="s">
        <x:v>82</x:v>
      </x:c>
      <x:c r="E18" s="6" t="s">
        <x:v>83</x:v>
      </x:c>
      <x:c r="F18" s="6" t="s">
        <x:v>79</x:v>
      </x:c>
      <x:c r="G18" s="6" t="s">
        <x:v>84</x:v>
      </x:c>
      <x:c r="H18" s="6" t="s">
        <x:v>20</x:v>
      </x:c>
      <x:c r="I18" s="6" t="s">
        <x:v>21</x:v>
      </x:c>
      <x:c r="J18" s="6" t="s">
        <x:v>52</x:v>
      </x:c>
      <x:c r="K18" s="6" t="s">
        <x:v>85</x:v>
      </x:c>
    </x:row>
    <x:row r="19">
      <x:c r="A19" s="8" t="s">
        <x:v>13</x:v>
      </x:c>
      <x:c r="B19" s="6" t="s">
        <x:v>70</x:v>
      </x:c>
      <x:c r="C19" s="6" t="s">
        <x:v>71</x:v>
      </x:c>
      <x:c r="D19" s="6" t="s">
        <x:v>86</x:v>
      </x:c>
      <x:c r="E19" s="6" t="s">
        <x:v>87</x:v>
      </x:c>
      <x:c r="F19" s="6" t="s">
        <x:v>79</x:v>
      </x:c>
      <x:c r="G19" s="6" t="s">
        <x:v>88</x:v>
      </x:c>
      <x:c r="H19" s="6" t="s">
        <x:v>20</x:v>
      </x:c>
      <x:c r="I19" s="6" t="s">
        <x:v>21</x:v>
      </x:c>
      <x:c r="J19" s="6" t="s">
        <x:v>52</x:v>
      </x:c>
      <x:c r="K19" s="6" t="s">
        <x:v>89</x:v>
      </x:c>
    </x:row>
    <x:row r="20">
      <x:c r="A20" s="8" t="s">
        <x:v>13</x:v>
      </x:c>
      <x:c r="B20" s="6" t="s">
        <x:v>70</x:v>
      </x:c>
      <x:c r="C20" s="6" t="s">
        <x:v>71</x:v>
      </x:c>
      <x:c r="D20" s="6" t="s">
        <x:v>90</x:v>
      </x:c>
      <x:c r="E20" s="6" t="s">
        <x:v>91</x:v>
      </x:c>
      <x:c r="F20" s="6" t="s">
        <x:v>79</x:v>
      </x:c>
      <x:c r="G20" s="6" t="s">
        <x:v>92</x:v>
      </x:c>
      <x:c r="H20" s="6" t="s">
        <x:v>28</x:v>
      </x:c>
      <x:c r="I20" s="6" t="s">
        <x:v>29</x:v>
      </x:c>
      <x:c r="J20" s="6" t="s">
        <x:v>52</x:v>
      </x:c>
      <x:c r="K20" s="6" t="s">
        <x:v>93</x:v>
      </x:c>
    </x:row>
    <x:row r="21" ht="15.75" customHeight="1">
      <x:c r="A21" s="8" t="s">
        <x:v>38</x:v>
      </x:c>
      <x:c r="B21" s="6" t="s">
        <x:v>70</x:v>
      </x:c>
      <x:c r="C21" s="6" t="s">
        <x:v>71</x:v>
      </x:c>
      <x:c r="D21" s="6" t="s">
        <x:v>94</x:v>
      </x:c>
      <x:c r="E21" s="6" t="s">
        <x:v>95</x:v>
      </x:c>
      <x:c r="F21" s="6" t="s">
        <x:v>96</x:v>
      </x:c>
      <x:c r="G21" s="6" t="s">
        <x:v>97</x:v>
      </x:c>
      <x:c r="H21" s="6" t="s">
        <x:v>29</x:v>
      </x:c>
      <x:c r="I21" s="6" t="s">
        <x:v>29</x:v>
      </x:c>
      <x:c r="J21" s="6" t="s">
        <x:v>98</x:v>
      </x:c>
      <x:c r="K21" s="8" t="s">
        <x:v>99</x:v>
      </x:c>
    </x:row>
    <x:row r="22" ht="15.75" customHeight="1">
      <x:c r="A22" s="8" t="s">
        <x:v>13</x:v>
      </x:c>
      <x:c r="B22" s="6" t="s">
        <x:v>100</x:v>
      </x:c>
      <x:c r="C22" s="6" t="s">
        <x:v>101</x:v>
      </x:c>
      <x:c r="D22" s="6" t="s">
        <x:v>102</x:v>
      </x:c>
      <x:c r="E22" s="6" t="s">
        <x:v>103</x:v>
      </x:c>
      <x:c r="F22" s="6" t="s">
        <x:v>104</x:v>
      </x:c>
      <x:c r="G22" s="6" t="s">
        <x:v>105</x:v>
      </x:c>
      <x:c r="H22" s="6" t="s">
        <x:v>28</x:v>
      </x:c>
      <x:c r="I22" s="6" t="s">
        <x:v>29</x:v>
      </x:c>
      <x:c r="J22" s="6" t="s">
        <x:v>106</x:v>
      </x:c>
      <x:c r="K22" s="6" t="s">
        <x:v>107</x:v>
      </x:c>
    </x:row>
    <x:row r="23" ht="15.75" customHeight="1">
      <x:c r="A23" s="8" t="s">
        <x:v>13</x:v>
      </x:c>
      <x:c r="B23" s="6" t="s">
        <x:v>100</x:v>
      </x:c>
      <x:c r="C23" s="6" t="s">
        <x:v>101</x:v>
      </x:c>
      <x:c r="D23" s="6" t="s">
        <x:v>108</x:v>
      </x:c>
      <x:c r="E23" s="6" t="s">
        <x:v>109</x:v>
      </x:c>
      <x:c r="F23" s="6" t="s">
        <x:v>110</x:v>
      </x:c>
      <x:c r="G23" s="6" t="s">
        <x:v>111</x:v>
      </x:c>
      <x:c r="H23" s="6" t="s">
        <x:v>29</x:v>
      </x:c>
      <x:c r="I23" s="6" t="s">
        <x:v>29</x:v>
      </x:c>
      <x:c r="J23" s="6" t="s">
        <x:v>106</x:v>
      </x:c>
      <x:c r="K23" s="6" t="s">
        <x:v>112</x:v>
      </x:c>
    </x:row>
    <x:row r="24" ht="15.75" customHeight="1">
      <x:c r="A24" s="8" t="s">
        <x:v>13</x:v>
      </x:c>
      <x:c r="B24" s="6" t="s">
        <x:v>100</x:v>
      </x:c>
      <x:c r="C24" s="6" t="s">
        <x:v>101</x:v>
      </x:c>
      <x:c r="D24" s="6" t="s">
        <x:v>113</x:v>
      </x:c>
      <x:c r="E24" s="6" t="s">
        <x:v>114</x:v>
      </x:c>
      <x:c r="F24" s="6" t="s">
        <x:v>115</x:v>
      </x:c>
      <x:c r="G24" s="6" t="s">
        <x:v>116</x:v>
      </x:c>
      <x:c r="H24" s="6" t="s">
        <x:v>28</x:v>
      </x:c>
      <x:c r="I24" s="6" t="s">
        <x:v>29</x:v>
      </x:c>
      <x:c r="J24" s="6" t="s">
        <x:v>106</x:v>
      </x:c>
      <x:c r="K24" s="6" t="s">
        <x:v>117</x:v>
      </x:c>
    </x:row>
    <x:row r="25" ht="15.75" customHeight="1">
      <x:c r="A25" s="8" t="s">
        <x:v>38</x:v>
      </x:c>
      <x:c r="B25" s="6" t="s">
        <x:v>100</x:v>
      </x:c>
      <x:c r="C25" s="6" t="s">
        <x:v>101</x:v>
      </x:c>
      <x:c r="D25" s="6" t="s">
        <x:v>118</x:v>
      </x:c>
      <x:c r="E25" s="6" t="s">
        <x:v>119</x:v>
      </x:c>
      <x:c r="F25" s="6" t="s">
        <x:v>120</x:v>
      </x:c>
      <x:c r="G25" s="6" t="s">
        <x:v>121</x:v>
      </x:c>
      <x:c r="H25" s="6" t="s">
        <x:v>29</x:v>
      </x:c>
      <x:c r="I25" s="6" t="s">
        <x:v>29</x:v>
      </x:c>
      <x:c r="J25" s="6" t="s">
        <x:v>122</x:v>
      </x:c>
      <x:c r="K25" s="6" t="s">
        <x:v>123</x:v>
      </x:c>
    </x:row>
    <x:row r="26" ht="15.75" customHeight="1">
      <x:c r="A26" s="8" t="s">
        <x:v>38</x:v>
      </x:c>
      <x:c r="B26" s="6" t="s">
        <x:v>100</x:v>
      </x:c>
      <x:c r="C26" s="6" t="s">
        <x:v>101</x:v>
      </x:c>
      <x:c r="D26" s="6" t="s">
        <x:v>124</x:v>
      </x:c>
      <x:c r="E26" s="6" t="s">
        <x:v>125</x:v>
      </x:c>
      <x:c r="F26" s="6" t="s">
        <x:v>126</x:v>
      </x:c>
      <x:c r="G26" s="6" t="s">
        <x:v>127</x:v>
      </x:c>
      <x:c r="H26" s="6" t="s">
        <x:v>29</x:v>
      </x:c>
      <x:c r="I26" s="6" t="s">
        <x:v>29</x:v>
      </x:c>
      <x:c r="J26" s="6" t="s">
        <x:v>122</x:v>
      </x:c>
      <x:c r="K26" s="6" t="s">
        <x:v>128</x:v>
      </x:c>
    </x:row>
    <x:row r="27" ht="15.75" customHeight="1">
      <x:c r="A27" s="8" t="s">
        <x:v>38</x:v>
      </x:c>
      <x:c r="B27" s="6" t="s">
        <x:v>129</x:v>
      </x:c>
      <x:c r="C27" s="6" t="s">
        <x:v>31</x:v>
      </x:c>
      <x:c r="D27" s="6" t="s">
        <x:v>130</x:v>
      </x:c>
      <x:c r="E27" s="6" t="s">
        <x:v>131</x:v>
      </x:c>
      <x:c r="F27" s="6" t="s">
        <x:v>34</x:v>
      </x:c>
      <x:c r="G27" s="6" t="s">
        <x:v>132</x:v>
      </x:c>
      <x:c r="H27" s="6" t="s">
        <x:v>28</x:v>
      </x:c>
      <x:c r="I27" s="6" t="s">
        <x:v>21</x:v>
      </x:c>
      <x:c r="J27" s="6" t="s">
        <x:v>36</x:v>
      </x:c>
      <x:c r="K27" s="8" t="s">
        <x:v>133</x:v>
      </x:c>
    </x:row>
    <x:row r="28" ht="15.75" customHeight="1">
      <x:c r="A28" s="8" t="s">
        <x:v>38</x:v>
      </x:c>
      <x:c r="B28" s="6" t="s">
        <x:v>129</x:v>
      </x:c>
      <x:c r="C28" s="6" t="s">
        <x:v>31</x:v>
      </x:c>
      <x:c r="D28" s="6" t="s">
        <x:v>134</x:v>
      </x:c>
      <x:c r="E28" s="6" t="s">
        <x:v>135</x:v>
      </x:c>
      <x:c r="F28" s="6" t="s">
        <x:v>34</x:v>
      </x:c>
      <x:c r="G28" s="6" t="s">
        <x:v>136</x:v>
      </x:c>
      <x:c r="H28" s="6" t="s">
        <x:v>20</x:v>
      </x:c>
      <x:c r="I28" s="6" t="s">
        <x:v>21</x:v>
      </x:c>
      <x:c r="J28" s="6" t="s">
        <x:v>36</x:v>
      </x:c>
      <x:c r="K28" s="8" t="s">
        <x:v>137</x:v>
      </x:c>
    </x:row>
    <x:row r="29" ht="15.75" customHeight="1">
      <x:c r="A29" s="8" t="s">
        <x:v>38</x:v>
      </x:c>
      <x:c r="B29" s="6" t="s">
        <x:v>129</x:v>
      </x:c>
      <x:c r="C29" s="6" t="s">
        <x:v>138</x:v>
      </x:c>
      <x:c r="D29" s="6" t="s">
        <x:v>139</x:v>
      </x:c>
      <x:c r="E29" s="6" t="s">
        <x:v>140</x:v>
      </x:c>
      <x:c r="F29" s="6" t="s">
        <x:v>141</x:v>
      </x:c>
      <x:c r="G29" s="6" t="s">
        <x:v>142</x:v>
      </x:c>
      <x:c r="H29" s="6" t="s">
        <x:v>29</x:v>
      </x:c>
      <x:c r="I29" s="6" t="s">
        <x:v>29</x:v>
      </x:c>
      <x:c r="J29" s="6" t="s">
        <x:v>106</x:v>
      </x:c>
      <x:c r="K29" s="8" t="s">
        <x:v>143</x:v>
      </x:c>
    </x:row>
    <x:row r="30" ht="15.75" customHeight="1">
      <x:c r="A30" s="8" t="s">
        <x:v>38</x:v>
      </x:c>
      <x:c r="B30" s="6" t="s">
        <x:v>129</x:v>
      </x:c>
      <x:c r="C30" s="6" t="s">
        <x:v>144</x:v>
      </x:c>
      <x:c r="D30" s="6" t="s">
        <x:v>145</x:v>
      </x:c>
      <x:c r="E30" s="6" t="s">
        <x:v>146</x:v>
      </x:c>
      <x:c r="F30" s="6" t="s">
        <x:v>147</x:v>
      </x:c>
      <x:c r="G30" s="6" t="s">
        <x:v>148</x:v>
      </x:c>
      <x:c r="H30" s="6" t="s">
        <x:v>29</x:v>
      </x:c>
      <x:c r="I30" s="6" t="s">
        <x:v>29</x:v>
      </x:c>
      <x:c r="J30" s="6" t="s">
        <x:v>98</x:v>
      </x:c>
      <x:c r="K30" s="6" t="s">
        <x:v>149</x:v>
      </x:c>
    </x:row>
    <x:row r="31" ht="15.75" customHeight="1">
      <x:c r="A31" s="8" t="s">
        <x:v>38</x:v>
      </x:c>
      <x:c r="B31" s="6" t="s">
        <x:v>150</x:v>
      </x:c>
      <x:c r="C31" s="6" t="s">
        <x:v>151</x:v>
      </x:c>
      <x:c r="D31" s="6" t="s">
        <x:v>152</x:v>
      </x:c>
      <x:c r="E31" s="6" t="s">
        <x:v>153</x:v>
      </x:c>
      <x:c r="F31" s="6" t="s">
        <x:v>154</x:v>
      </x:c>
      <x:c r="G31" s="6" t="s">
        <x:v>155</x:v>
      </x:c>
      <x:c r="H31" s="6" t="s">
        <x:v>20</x:v>
      </x:c>
      <x:c r="I31" s="6" t="s">
        <x:v>21</x:v>
      </x:c>
      <x:c r="J31" s="6" t="s">
        <x:v>36</x:v>
      </x:c>
      <x:c r="K31" s="8" t="s">
        <x:v>156</x:v>
      </x:c>
    </x:row>
    <x:row r="32" ht="15.75" customHeight="1">
      <x:c r="A32" s="8" t="s">
        <x:v>13</x:v>
      </x:c>
      <x:c r="B32" s="6" t="s">
        <x:v>150</x:v>
      </x:c>
      <x:c r="C32" s="6" t="s">
        <x:v>151</x:v>
      </x:c>
      <x:c r="D32" s="6" t="s">
        <x:v>157</x:v>
      </x:c>
      <x:c r="E32" s="6" t="s">
        <x:v>158</x:v>
      </x:c>
      <x:c r="F32" s="6" t="s">
        <x:v>159</x:v>
      </x:c>
      <x:c r="G32" s="6" t="s">
        <x:v>160</x:v>
      </x:c>
      <x:c r="H32" s="6" t="s">
        <x:v>28</x:v>
      </x:c>
      <x:c r="I32" s="6" t="s">
        <x:v>29</x:v>
      </x:c>
      <x:c r="J32" s="6" t="s">
        <x:v>161</x:v>
      </x:c>
      <x:c r="K32" s="8" t="s">
        <x:v>162</x:v>
      </x:c>
    </x:row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conditionalFormatting sqref="A5:A32">
    <x:cfRule type="expression" dxfId="0" priority="1">
      <x:formula>A5="Ready"</x:formula>
    </x:cfRule>
  </x:conditionalFormatting>
  <x:conditionalFormatting sqref="A5:A32">
    <x:cfRule type="expression" dxfId="1" priority="2">
      <x:formula>A5="In progress"</x:formula>
    </x:cfRule>
  </x:conditionalFormatting>
  <x:conditionalFormatting sqref="A5:A32">
    <x:cfRule type="expression" dxfId="2" priority="3">
      <x:formula>A5="Not started"</x:formula>
    </x:cfRule>
  </x:conditionalFormatting>
  <x:conditionalFormatting sqref="H5:H32">
    <x:cfRule type="expression" dxfId="3" priority="4">
      <x:formula>H5="Core"</x:formula>
    </x:cfRule>
  </x:conditionalFormatting>
  <x:dataValidations count="3">
    <x:dataValidation type="list" allowBlank="1" sqref="I5:I32">
      <x:formula1>"Yes,Optional,No"</x:formula1>
    </x:dataValidation>
    <x:dataValidation type="list" allowBlank="1" sqref="A5:A32">
      <x:formula1>"Not started,In progress,Ready,Not needed"</x:formula1>
    </x:dataValidation>
    <x:dataValidation type="list" allowBlank="1" sqref="H5:H32">
      <x:formula1>"Core,Recommended,Optional"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2" width="45" customWidth="1"/>
    <x:col min="3" max="5" width="14" customWidth="1"/>
    <x:col min="6" max="6" width="16" customWidth="1"/>
    <x:col min="7" max="26" width="8.630000114440918" customWidth="1"/>
  </x:cols>
  <x:sheetData>
    <x:row r="1">
      <x:c r="A1" s="1" t="s">
        <x:v>163</x:v>
      </x:c>
    </x:row>
    <x:row r="3">
      <x:c r="A3" s="4" t="s">
        <x:v>4</x:v>
      </x:c>
      <x:c r="B3" s="4" t="s">
        <x:v>164</x:v>
      </x:c>
      <x:c r="C3" s="4" t="s">
        <x:v>13</x:v>
      </x:c>
      <x:c r="D3" s="4" t="s">
        <x:v>165</x:v>
      </x:c>
      <x:c r="E3" s="4" t="s">
        <x:v>166</x:v>
      </x:c>
      <x:c r="F3" s="4" t="s">
        <x:v>167</x:v>
      </x:c>
    </x:row>
    <x:row r="4">
      <x:c r="A4" s="6" t="s">
        <x:v>15</x:v>
      </x:c>
      <x:c r="B4" s="6" t="n">
        <x:f>COUNTIF('Asset Requests'!$C$5:$C$32,A4)</x:f>
        <x:v>2</x:v>
      </x:c>
      <x:c r="C4" s="6" t="n">
        <x:f>COUNTIFS('Asset Requests'!$C$5:$C$32,A4,'Asset Requests'!$A$5:$A$32,"Ready")</x:f>
        <x:v>2</x:v>
      </x:c>
      <x:c r="D4" s="6" t="n">
        <x:f>COUNTIFS('Asset Requests'!$C$5:$C$32,A4,'Asset Requests'!$A$5:$A$32,"In progress")</x:f>
        <x:v>0</x:v>
      </x:c>
      <x:c r="E4" s="6" t="n">
        <x:f>COUNTIFS('Asset Requests'!$C$5:$C$32,A4,'Asset Requests'!$A$5:$A$32,"Not started")</x:f>
        <x:v>0</x:v>
      </x:c>
      <x:c r="F4" s="9" t="n">
        <x:f t="shared" ref="F4:F12" si="1">IF(B4=0,0,C4/B4)</x:f>
        <x:v>1</x:v>
      </x:c>
    </x:row>
    <x:row r="5">
      <x:c r="A5" s="6" t="s">
        <x:v>31</x:v>
      </x:c>
      <x:c r="B5" s="6" t="n">
        <x:f>COUNTIF('Asset Requests'!$C$5:$C$32,A5)</x:f>
        <x:v>3</x:v>
      </x:c>
      <x:c r="C5" s="6" t="n">
        <x:f>COUNTIFS('Asset Requests'!$C$5:$C$32,A5,'Asset Requests'!$A$5:$A$32,"Ready")</x:f>
        <x:v>1</x:v>
      </x:c>
      <x:c r="D5" s="6" t="n">
        <x:f>COUNTIFS('Asset Requests'!$C$5:$C$32,A5,'Asset Requests'!$A$5:$A$32,"In progress")</x:f>
        <x:v>0</x:v>
      </x:c>
      <x:c r="E5" s="6" t="n">
        <x:f>COUNTIFS('Asset Requests'!$C$5:$C$32,A5,'Asset Requests'!$A$5:$A$32,"Not started")</x:f>
        <x:v>0</x:v>
      </x:c>
      <x:c r="F5" s="9">
        <x:f t="shared" si="1"/>
        <x:v>0.3333333333</x:v>
      </x:c>
    </x:row>
    <x:row r="6">
      <x:c r="A6" s="6" t="s">
        <x:v>39</x:v>
      </x:c>
      <x:c r="B6" s="6" t="n">
        <x:f>COUNTIF('Asset Requests'!$C$5:$C$32,A6)</x:f>
        <x:v>1</x:v>
      </x:c>
      <x:c r="C6" s="6" t="n">
        <x:f>COUNTIFS('Asset Requests'!$C$5:$C$32,A6,'Asset Requests'!$A$5:$A$32,"Ready")</x:f>
        <x:v>0</x:v>
      </x:c>
      <x:c r="D6" s="6" t="n">
        <x:f>COUNTIFS('Asset Requests'!$C$5:$C$32,A6,'Asset Requests'!$A$5:$A$32,"In progress")</x:f>
        <x:v>0</x:v>
      </x:c>
      <x:c r="E6" s="6" t="n">
        <x:f>COUNTIFS('Asset Requests'!$C$5:$C$32,A6,'Asset Requests'!$A$5:$A$32,"Not started")</x:f>
        <x:v>0</x:v>
      </x:c>
      <x:c r="F6" s="9">
        <x:f t="shared" si="1"/>
        <x:v>0</x:v>
      </x:c>
    </x:row>
    <x:row r="7">
      <x:c r="A7" s="6" t="s">
        <x:v>47</x:v>
      </x:c>
      <x:c r="B7" s="6" t="n">
        <x:f>COUNTIF('Asset Requests'!$C$5:$C$32,A7)</x:f>
        <x:v>7</x:v>
      </x:c>
      <x:c r="C7" s="6" t="n">
        <x:f>COUNTIFS('Asset Requests'!$C$5:$C$32,A7,'Asset Requests'!$A$5:$A$32,"Ready")</x:f>
        <x:v>7</x:v>
      </x:c>
      <x:c r="D7" s="6" t="n">
        <x:f>COUNTIFS('Asset Requests'!$C$5:$C$32,A7,'Asset Requests'!$A$5:$A$32,"In progress")</x:f>
        <x:v>0</x:v>
      </x:c>
      <x:c r="E7" s="6" t="n">
        <x:f>COUNTIFS('Asset Requests'!$C$5:$C$32,A7,'Asset Requests'!$A$5:$A$32,"Not started")</x:f>
        <x:v>0</x:v>
      </x:c>
      <x:c r="F7" s="9">
        <x:f t="shared" si="1"/>
        <x:v>1</x:v>
      </x:c>
    </x:row>
    <x:row r="8">
      <x:c r="A8" s="6" t="s">
        <x:v>71</x:v>
      </x:c>
      <x:c r="B8" s="6" t="n">
        <x:f>COUNTIF('Asset Requests'!$C$5:$C$32,A8)</x:f>
        <x:v>6</x:v>
      </x:c>
      <x:c r="C8" s="6" t="n">
        <x:f>COUNTIFS('Asset Requests'!$C$5:$C$32,A8,'Asset Requests'!$A$5:$A$32,"Ready")</x:f>
        <x:v>5</x:v>
      </x:c>
      <x:c r="D8" s="6" t="n">
        <x:f>COUNTIFS('Asset Requests'!$C$5:$C$32,A8,'Asset Requests'!$A$5:$A$32,"In progress")</x:f>
        <x:v>0</x:v>
      </x:c>
      <x:c r="E8" s="6" t="n">
        <x:f>COUNTIFS('Asset Requests'!$C$5:$C$32,A8,'Asset Requests'!$A$5:$A$32,"Not started")</x:f>
        <x:v>0</x:v>
      </x:c>
      <x:c r="F8" s="9">
        <x:f t="shared" si="1"/>
        <x:v>0.8333333333</x:v>
      </x:c>
    </x:row>
    <x:row r="9">
      <x:c r="A9" s="6" t="s">
        <x:v>101</x:v>
      </x:c>
      <x:c r="B9" s="6" t="n">
        <x:f>COUNTIF('Asset Requests'!$C$5:$C$32,A9)</x:f>
        <x:v>5</x:v>
      </x:c>
      <x:c r="C9" s="6" t="n">
        <x:f>COUNTIFS('Asset Requests'!$C$5:$C$32,A9,'Asset Requests'!$A$5:$A$32,"Ready")</x:f>
        <x:v>3</x:v>
      </x:c>
      <x:c r="D9" s="6" t="n">
        <x:f>COUNTIFS('Asset Requests'!$C$5:$C$32,A9,'Asset Requests'!$A$5:$A$32,"In progress")</x:f>
        <x:v>0</x:v>
      </x:c>
      <x:c r="E9" s="6" t="n">
        <x:f>COUNTIFS('Asset Requests'!$C$5:$C$32,A9,'Asset Requests'!$A$5:$A$32,"Not started")</x:f>
        <x:v>0</x:v>
      </x:c>
      <x:c r="F9" s="9">
        <x:f t="shared" si="1"/>
        <x:v>0.6</x:v>
      </x:c>
    </x:row>
    <x:row r="10">
      <x:c r="A10" s="6" t="s">
        <x:v>138</x:v>
      </x:c>
      <x:c r="B10" s="6" t="n">
        <x:f>COUNTIF('Asset Requests'!$C$5:$C$32,A10)</x:f>
        <x:v>1</x:v>
      </x:c>
      <x:c r="C10" s="6" t="n">
        <x:f>COUNTIFS('Asset Requests'!$C$5:$C$32,A10,'Asset Requests'!$A$5:$A$32,"Ready")</x:f>
        <x:v>0</x:v>
      </x:c>
      <x:c r="D10" s="6" t="n">
        <x:f>COUNTIFS('Asset Requests'!$C$5:$C$32,A10,'Asset Requests'!$A$5:$A$32,"In progress")</x:f>
        <x:v>0</x:v>
      </x:c>
      <x:c r="E10" s="6" t="n">
        <x:f>COUNTIFS('Asset Requests'!$C$5:$C$32,A10,'Asset Requests'!$A$5:$A$32,"Not started")</x:f>
        <x:v>0</x:v>
      </x:c>
      <x:c r="F10" s="9">
        <x:f t="shared" si="1"/>
        <x:v>0</x:v>
      </x:c>
    </x:row>
    <x:row r="11">
      <x:c r="A11" s="6" t="s">
        <x:v>144</x:v>
      </x:c>
      <x:c r="B11" s="6" t="n">
        <x:f>COUNTIF('Asset Requests'!$C$5:$C$32,A11)</x:f>
        <x:v>1</x:v>
      </x:c>
      <x:c r="C11" s="6" t="n">
        <x:f>COUNTIFS('Asset Requests'!$C$5:$C$32,A11,'Asset Requests'!$A$5:$A$32,"Ready")</x:f>
        <x:v>0</x:v>
      </x:c>
      <x:c r="D11" s="6" t="n">
        <x:f>COUNTIFS('Asset Requests'!$C$5:$C$32,A11,'Asset Requests'!$A$5:$A$32,"In progress")</x:f>
        <x:v>0</x:v>
      </x:c>
      <x:c r="E11" s="6" t="n">
        <x:f>COUNTIFS('Asset Requests'!$C$5:$C$32,A11,'Asset Requests'!$A$5:$A$32,"Not started")</x:f>
        <x:v>0</x:v>
      </x:c>
      <x:c r="F11" s="9">
        <x:f t="shared" si="1"/>
        <x:v>0</x:v>
      </x:c>
    </x:row>
    <x:row r="12">
      <x:c r="A12" s="6" t="s">
        <x:v>151</x:v>
      </x:c>
      <x:c r="B12" s="6" t="n">
        <x:f>COUNTIF('Asset Requests'!$C$5:$C$32,A12)</x:f>
        <x:v>2</x:v>
      </x:c>
      <x:c r="C12" s="6" t="n">
        <x:f>COUNTIFS('Asset Requests'!$C$5:$C$32,A12,'Asset Requests'!$A$5:$A$32,"Ready")</x:f>
        <x:v>1</x:v>
      </x:c>
      <x:c r="D12" s="6" t="n">
        <x:f>COUNTIFS('Asset Requests'!$C$5:$C$32,A12,'Asset Requests'!$A$5:$A$32,"In progress")</x:f>
        <x:v>0</x:v>
      </x:c>
      <x:c r="E12" s="6" t="n">
        <x:f>COUNTIFS('Asset Requests'!$C$5:$C$32,A12,'Asset Requests'!$A$5:$A$32,"Not started")</x:f>
        <x:v>0</x:v>
      </x:c>
      <x:c r="F12" s="9">
        <x:f t="shared" si="1"/>
        <x:v>0.5</x:v>
      </x:c>
    </x:row>
    <x:row r="13">
      <x:c r="A13" s="6"/>
      <x:c r="B13" s="6"/>
      <x:c r="C13" s="6"/>
      <x:c r="D13" s="6"/>
      <x:c r="E13" s="6"/>
      <x:c r="F13" s="6"/>
    </x:row>
    <x:row r="14">
      <x:c r="A14" s="6"/>
      <x:c r="B14" s="6"/>
      <x:c r="C14" s="6"/>
      <x:c r="D14" s="6"/>
      <x:c r="E14" s="6"/>
      <x:c r="F14" s="6"/>
    </x:row>
    <x:row r="15">
      <x:c r="A15" s="10" t="s">
        <x:v>9</x:v>
      </x:c>
      <x:c r="B15" s="10" t="s">
        <x:v>168</x:v>
      </x:c>
      <x:c r="C15" s="6"/>
      <x:c r="D15" s="6"/>
      <x:c r="E15" s="6"/>
      <x:c r="F15" s="6"/>
    </x:row>
    <x:row r="16">
      <x:c r="A16" s="6" t="s">
        <x:v>20</x:v>
      </x:c>
      <x:c r="B16" s="6" t="s">
        <x:v>169</x:v>
      </x:c>
      <x:c r="C16" s="6"/>
      <x:c r="D16" s="6"/>
      <x:c r="E16" s="6"/>
      <x:c r="F16" s="6"/>
    </x:row>
    <x:row r="17">
      <x:c r="A17" s="6" t="s">
        <x:v>28</x:v>
      </x:c>
      <x:c r="B17" s="6" t="s">
        <x:v>170</x:v>
      </x:c>
      <x:c r="C17" s="6"/>
      <x:c r="D17" s="6"/>
      <x:c r="E17" s="6"/>
      <x:c r="F17" s="6"/>
    </x:row>
    <x:row r="18">
      <x:c r="A18" s="6" t="s">
        <x:v>29</x:v>
      </x:c>
      <x:c r="B18" s="6" t="s">
        <x:v>171</x:v>
      </x:c>
      <x:c r="C18" s="6"/>
      <x:c r="D18" s="6"/>
      <x:c r="E18" s="6"/>
      <x:c r="F18" s="6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2" width="28" customWidth="1"/>
    <x:col min="3" max="3" width="35" customWidth="1"/>
    <x:col min="4" max="4" width="52" customWidth="1"/>
    <x:col min="5" max="26" width="8.630000114440918" customWidth="1"/>
  </x:cols>
  <x:sheetData>
    <x:row r="1">
      <x:c r="A1" s="1" t="s">
        <x:v>172</x:v>
      </x:c>
    </x:row>
    <x:row r="3">
      <x:c r="A3" s="3" t="s">
        <x:v>173</x:v>
      </x:c>
      <x:c r="B3" s="3" t="s">
        <x:v>174</x:v>
      </x:c>
      <x:c r="C3" s="3" t="s">
        <x:v>175</x:v>
      </x:c>
      <x:c r="D3" s="3" t="s">
        <x:v>12</x:v>
      </x:c>
    </x:row>
    <x:row r="4">
      <x:c r="A4" s="6" t="s">
        <x:v>176</x:v>
      </x:c>
      <x:c r="B4" s="6"/>
      <x:c r="C4" s="6" t="s">
        <x:v>177</x:v>
      </x:c>
      <x:c r="D4" s="6" t="s">
        <x:v>178</x:v>
      </x:c>
    </x:row>
    <x:row r="5">
      <x:c r="A5" s="6" t="s">
        <x:v>179</x:v>
      </x:c>
      <x:c r="B5" s="6"/>
      <x:c r="C5" s="6" t="s">
        <x:v>180</x:v>
      </x:c>
      <x:c r="D5" s="6" t="s">
        <x:v>181</x:v>
      </x:c>
    </x:row>
    <x:row r="6">
      <x:c r="A6" s="6" t="s">
        <x:v>182</x:v>
      </x:c>
      <x:c r="B6" s="6"/>
      <x:c r="C6" s="6" t="s">
        <x:v>183</x:v>
      </x:c>
      <x:c r="D6" s="6" t="s">
        <x:v>184</x:v>
      </x:c>
    </x:row>
    <x:row r="7">
      <x:c r="A7" s="6" t="s">
        <x:v>185</x:v>
      </x:c>
      <x:c r="B7" s="6"/>
      <x:c r="C7" s="6" t="s">
        <x:v>186</x:v>
      </x:c>
      <x:c r="D7" s="6" t="s">
        <x:v>187</x:v>
      </x:c>
    </x:row>
    <x:row r="8">
      <x:c r="A8" s="6" t="s">
        <x:v>188</x:v>
      </x:c>
      <x:c r="B8" s="6"/>
      <x:c r="C8" s="6" t="s">
        <x:v>189</x:v>
      </x:c>
      <x:c r="D8" s="6" t="s">
        <x:v>190</x:v>
      </x:c>
    </x:row>
    <x:row r="9">
      <x:c r="A9" s="6" t="s">
        <x:v>191</x:v>
      </x:c>
      <x:c r="B9" s="6"/>
      <x:c r="C9" s="6" t="s">
        <x:v>192</x:v>
      </x:c>
      <x:c r="D9" s="6" t="s">
        <x:v>193</x:v>
      </x:c>
    </x:row>
    <x:row r="10">
      <x:c r="A10" s="6" t="s">
        <x:v>194</x:v>
      </x:c>
      <x:c r="B10" s="6"/>
      <x:c r="C10" s="6" t="s">
        <x:v>195</x:v>
      </x:c>
      <x:c r="D10" s="6" t="s">
        <x:v>196</x:v>
      </x:c>
    </x:row>
    <x:row r="11">
      <x:c r="A11" s="6" t="s">
        <x:v>197</x:v>
      </x:c>
      <x:c r="B11" s="6"/>
      <x:c r="C11" s="6" t="s">
        <x:v>198</x:v>
      </x:c>
      <x:c r="D11" s="6" t="s">
        <x:v>199</x:v>
      </x:c>
    </x:row>
    <x:row r="12">
      <x:c r="A12" s="6" t="s">
        <x:v>200</x:v>
      </x:c>
      <x:c r="B12" s="6"/>
      <x:c r="C12" s="6" t="s">
        <x:v>201</x:v>
      </x:c>
      <x:c r="D12" s="6" t="s">
        <x:v>202</x:v>
      </x:c>
    </x:row>
    <x:row r="13">
      <x:c r="A13" s="6" t="s">
        <x:v>203</x:v>
      </x:c>
      <x:c r="B13" s="6"/>
      <x:c r="C13" s="6" t="s">
        <x:v>204</x:v>
      </x:c>
      <x:c r="D13" s="6" t="s">
        <x:v>205</x:v>
      </x:c>
    </x:row>
    <x:row r="14">
      <x:c r="A14" s="6" t="s">
        <x:v>206</x:v>
      </x:c>
      <x:c r="B14" s="6"/>
      <x:c r="C14" s="6" t="s">
        <x:v>207</x:v>
      </x:c>
      <x:c r="D14" s="6" t="s">
        <x:v>208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2" width="30" customWidth="1"/>
    <x:col min="3" max="3" width="45" customWidth="1"/>
    <x:col min="4" max="4" width="44" customWidth="1"/>
    <x:col min="5" max="5" width="48" customWidth="1"/>
    <x:col min="6" max="26" width="8.630000114440918" customWidth="1"/>
  </x:cols>
  <x:sheetData>
    <x:row r="1">
      <x:c r="A1" s="1" t="s">
        <x:v>209</x:v>
      </x:c>
    </x:row>
    <x:row r="3">
      <x:c r="A3" s="3" t="s">
        <x:v>210</x:v>
      </x:c>
      <x:c r="B3" s="3" t="s">
        <x:v>211</x:v>
      </x:c>
      <x:c r="C3" s="3" t="s">
        <x:v>212</x:v>
      </x:c>
      <x:c r="D3" s="3" t="s">
        <x:v>213</x:v>
      </x:c>
      <x:c r="E3" s="3" t="s">
        <x:v>214</x:v>
      </x:c>
    </x:row>
    <x:row r="4">
      <x:c r="A4" s="6" t="s">
        <x:v>215</x:v>
      </x:c>
      <x:c r="B4" s="6" t="s">
        <x:v>216</x:v>
      </x:c>
      <x:c r="C4" s="6" t="s">
        <x:v>217</x:v>
      </x:c>
      <x:c r="D4" s="6" t="s">
        <x:v>218</x:v>
      </x:c>
      <x:c r="E4" s="6" t="s">
        <x:v>219</x:v>
      </x:c>
    </x:row>
    <x:row r="5">
      <x:c r="A5" s="6" t="s">
        <x:v>220</x:v>
      </x:c>
      <x:c r="B5" s="6" t="s">
        <x:v>221</x:v>
      </x:c>
      <x:c r="C5" s="6" t="s">
        <x:v>222</x:v>
      </x:c>
      <x:c r="D5" s="6" t="s">
        <x:v>223</x:v>
      </x:c>
      <x:c r="E5" s="6" t="s">
        <x:v>224</x:v>
      </x:c>
    </x:row>
    <x:row r="6">
      <x:c r="A6" s="6" t="s">
        <x:v>225</x:v>
      </x:c>
      <x:c r="B6" s="6" t="s">
        <x:v>226</x:v>
      </x:c>
      <x:c r="C6" s="6" t="s">
        <x:v>227</x:v>
      </x:c>
      <x:c r="D6" s="6" t="s">
        <x:v>228</x:v>
      </x:c>
      <x:c r="E6" s="6" t="s">
        <x:v>229</x:v>
      </x:c>
    </x:row>
    <x:row r="7">
      <x:c r="A7" s="6" t="s">
        <x:v>230</x:v>
      </x:c>
      <x:c r="B7" s="6" t="s">
        <x:v>231</x:v>
      </x:c>
      <x:c r="C7" s="6" t="s">
        <x:v>232</x:v>
      </x:c>
      <x:c r="D7" s="6" t="s">
        <x:v>233</x:v>
      </x:c>
      <x:c r="E7" s="6" t="s">
        <x:v>234</x:v>
      </x:c>
    </x:row>
    <x:row r="8">
      <x:c r="A8" s="6" t="s">
        <x:v>235</x:v>
      </x:c>
      <x:c r="B8" s="6" t="s">
        <x:v>236</x:v>
      </x:c>
      <x:c r="C8" s="6" t="s">
        <x:v>237</x:v>
      </x:c>
      <x:c r="D8" s="6" t="s">
        <x:v>238</x:v>
      </x:c>
      <x:c r="E8" s="6" t="s">
        <x:v>239</x:v>
      </x:c>
    </x:row>
    <x:row r="9">
      <x:c r="A9" s="6" t="s">
        <x:v>240</x:v>
      </x:c>
      <x:c r="B9" s="6" t="s">
        <x:v>241</x:v>
      </x:c>
      <x:c r="C9" s="6" t="s">
        <x:v>242</x:v>
      </x:c>
      <x:c r="D9" s="6" t="s">
        <x:v>243</x:v>
      </x:c>
      <x:c r="E9" s="6" t="s">
        <x:v>244</x:v>
      </x:c>
    </x:row>
    <x:row r="10">
      <x:c r="A10" s="6" t="s">
        <x:v>245</x:v>
      </x:c>
      <x:c r="B10" s="6" t="s">
        <x:v>246</x:v>
      </x:c>
      <x:c r="C10" s="6" t="s">
        <x:v>247</x:v>
      </x:c>
      <x:c r="D10" s="6" t="s">
        <x:v>248</x:v>
      </x:c>
      <x:c r="E10" s="6" t="s">
        <x:v>249</x:v>
      </x:c>
    </x:row>
    <x:row r="11">
      <x:c r="A11" s="6" t="s">
        <x:v>250</x:v>
      </x:c>
      <x:c r="B11" s="6" t="s">
        <x:v>251</x:v>
      </x:c>
      <x:c r="C11" s="6" t="s">
        <x:v>252</x:v>
      </x:c>
      <x:c r="D11" s="6" t="s">
        <x:v>253</x:v>
      </x:c>
      <x:c r="E11" s="6" t="s">
        <x:v>254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18" hidden="0" customWidth="1"/>
    <x:col min="4" max="4" width="15" hidden="0" customWidth="1"/>
    <x:col min="5" max="5" width="20" hidden="0" customWidth="1"/>
    <x:col min="6" max="6" width="56" hidden="0" customWidth="1"/>
    <x:col min="7" max="7" width="20" hidden="0" customWidth="1"/>
    <x:col min="8" max="8" width="56" hidden="0" customWidth="1"/>
  </x:cols>
  <x:sheetData>
    <x:row r="1">
      <x:c r="A1" s="23" t="str">
        <x:v>Protean Workspace — Supplied Asset Audit</x:v>
      </x:c>
      <x:c r="B1" s="23"/>
      <x:c r="C1" s="23"/>
      <x:c r="D1" s="23"/>
      <x:c r="E1" s="23"/>
      <x:c r="F1" s="23"/>
      <x:c r="G1" s="23"/>
      <x:c r="H1" s="23"/>
    </x:row>
    <x:row r="2">
      <x:c r="A2" s="26" t="str">
        <x:v>Reviewed against assets.zip. 'Usable now' means suitable for the next visual patch; sprite-mode requirements are intentionally deferred.</x:v>
      </x:c>
      <x:c r="B2" s="26"/>
      <x:c r="C2" s="26"/>
      <x:c r="D2" s="26"/>
      <x:c r="E2" s="26"/>
      <x:c r="F2" s="26"/>
      <x:c r="G2" s="26"/>
      <x:c r="H2" s="26"/>
    </x:row>
    <x:row r="4">
      <x:c r="A4" s="31" t="str">
        <x:v>Asset</x:v>
      </x:c>
      <x:c r="B4" s="31" t="str">
        <x:v>Type</x:v>
      </x:c>
      <x:c r="C4" s="31" t="str">
        <x:v>Detected size</x:v>
      </x:c>
      <x:c r="D4" s="31" t="str">
        <x:v>Transparency</x:v>
      </x:c>
      <x:c r="E4" s="31" t="str">
        <x:v>Workbook state</x:v>
      </x:c>
      <x:c r="F4" s="31" t="str">
        <x:v>Review</x:v>
      </x:c>
      <x:c r="G4" s="31" t="str">
        <x:v>Current patch</x:v>
      </x:c>
      <x:c r="H4" s="31" t="str">
        <x:v>Later / action</x:v>
      </x:c>
    </x:row>
    <x:row r="5">
      <x:c r="A5" s="32" t="str">
        <x:v>protean-workspace-logo.svg</x:v>
      </x:c>
      <x:c r="B5" s="32" t="str">
        <x:v>Branding</x:v>
      </x:c>
      <x:c r="C5" s="32" t="str">
        <x:v>1254×1254 SVG</x:v>
      </x:c>
      <x:c r="D5" s="32" t="str">
        <x:v>Vector</x:v>
      </x:c>
      <x:c r="E5" s="32" t="str">
        <x:v>Ready</x:v>
      </x:c>
      <x:c r="F5" s="32" t="str">
        <x:v>Strong fit for the dark Protean identity. Wordmark reads PROTEAN, which works well as the primary brand mark.</x:v>
      </x:c>
      <x:c r="G5" s="32" t="str">
        <x:v>Use now</x:v>
      </x:c>
      <x:c r="H5" s="32" t="str">
        <x:v>Keep 'Protean Workspace' as the product name in UI text. SVG is detailed; optimization can wait.</x:v>
      </x:c>
    </x:row>
    <x:row r="6">
      <x:c r="A6" s="32" t="str">
        <x:v>protean-icon.svg</x:v>
      </x:c>
      <x:c r="B6" s="32" t="str">
        <x:v>Branding</x:v>
      </x:c>
      <x:c r="C6" s="32" t="str">
        <x:v>275×216 SVG</x:v>
      </x:c>
      <x:c r="D6" s="32" t="str">
        <x:v>Vector</x:v>
      </x:c>
      <x:c r="E6" s="32" t="str">
        <x:v>Ready</x:v>
      </x:c>
      <x:c r="F6" s="32" t="str">
        <x:v>Matches the wordmark and is suitable for favicon/app identity.</x:v>
      </x:c>
      <x:c r="G6" s="32" t="str">
        <x:v>Use now</x:v>
      </x:c>
      <x:c r="H6" s="32" t="str">
        <x:v>Later create raster favicon sizes during build if needed.</x:v>
      </x:c>
    </x:row>
    <x:row r="7">
      <x:c r="A7" s="32" t="str">
        <x:v>reference-global-01-skeleton.png</x:v>
      </x:c>
      <x:c r="B7" s="32" t="str">
        <x:v>Moodboard</x:v>
      </x:c>
      <x:c r="C7" s="32" t="str">
        <x:v>990×526</x:v>
      </x:c>
      <x:c r="D7" s="32" t="str">
        <x:v>Yes</x:v>
      </x:c>
      <x:c r="E7" s="32" t="str">
        <x:v>Ready</x:v>
      </x:c>
      <x:c r="F7" s="32" t="str">
        <x:v>Clear structural reference: dense controls at sides, readable transcript in the center, utilities kept out of the conversation flow.</x:v>
      </x:c>
      <x:c r="G7" s="32" t="str">
        <x:v>Use as layout reference</x:v>
      </x:c>
      <x:c r="H7" s="32" t="str">
        <x:v>Do not copy SillyTavern density blindly; preserve Protean's cleaner hierarchy.</x:v>
      </x:c>
    </x:row>
    <x:row r="8">
      <x:c r="A8" s="32" t="str">
        <x:v>reference-global-02-interactive and stats.png</x:v>
      </x:c>
      <x:c r="B8" s="32" t="str">
        <x:v>Moodboard</x:v>
      </x:c>
      <x:c r="C8" s="32" t="str">
        <x:v>1017×571</x:v>
      </x:c>
      <x:c r="D8" s="32" t="str">
        <x:v>Yes</x:v>
      </x:c>
      <x:c r="E8" s="32" t="str">
        <x:v>Ready</x:v>
      </x:c>
      <x:c r="F8" s="32" t="str">
        <x:v>Useful reference for diegetic overlays: portrait/sprite presence, optional info cards, stats/widgets and secondary modules around chat.</x:v>
      </x:c>
      <x:c r="G8" s="32" t="str">
        <x:v>Use as interaction reference</x:v>
      </x:c>
      <x:c r="H8" s="32" t="str">
        <x:v>Stats/RPG widgets are not automatically in scope; keep them modular if added later.</x:v>
      </x:c>
    </x:row>
    <x:row r="9">
      <x:c r="A9" s="32" t="str">
        <x:v>reference-global-03-behind sprite who changes expression (simmiliar to Giulio's site with replies).png</x:v>
      </x:c>
      <x:c r="B9" s="32" t="str">
        <x:v>Moodboard</x:v>
      </x:c>
      <x:c r="C9" s="32" t="str">
        <x:v>1032×528</x:v>
      </x:c>
      <x:c r="D9" s="32" t="str">
        <x:v>Yes</x:v>
      </x:c>
      <x:c r="E9" s="32" t="str">
        <x:v>Ready</x:v>
      </x:c>
      <x:c r="F9" s="32" t="str">
        <x:v>Defines the future stage mode well: character sprite behind a translucent chat surface, with expression changes tied to replies.</x:v>
      </x:c>
      <x:c r="G9" s="32" t="str">
        <x:v>Reference only for this patch</x:v>
      </x:c>
      <x:c r="H9" s="32" t="str">
        <x:v>Implement as Sprite Mode in the next patch, not in the current visual foundation.</x:v>
      </x:c>
    </x:row>
    <x:row r="10">
      <x:c r="A10" s="32" t="str">
        <x:v>char-tom-riddle.webp</x:v>
      </x:c>
      <x:c r="B10" s="32" t="str">
        <x:v>Character portrait</x:v>
      </x:c>
      <x:c r="C10" s="32" t="str">
        <x:v>467×428</x:v>
      </x:c>
      <x:c r="D10" s="32" t="str">
        <x:v>Yes</x:v>
      </x:c>
      <x:c r="E10" s="32" t="str">
        <x:v>Ready</x:v>
      </x:c>
      <x:c r="F10" s="32" t="str">
        <x:v>Good transparent primary portrait and visually suitable for current sidebar/header use.</x:v>
      </x:c>
      <x:c r="G10" s="32" t="str">
        <x:v>Use now</x:v>
      </x:c>
      <x:c r="H10" s="32" t="str">
        <x:v>Too small/single-pose for robust stage sprites; later create a consistent expression pack.</x:v>
      </x:c>
    </x:row>
    <x:row r="11">
      <x:c r="A11" s="32" t="str">
        <x:v>char-hermione.webp</x:v>
      </x:c>
      <x:c r="B11" s="32" t="str">
        <x:v>Character portrait</x:v>
      </x:c>
      <x:c r="C11" s="32" t="str">
        <x:v>1120×1120</x:v>
      </x:c>
      <x:c r="D11" s="32" t="str">
        <x:v>Yes</x:v>
      </x:c>
      <x:c r="E11" s="32" t="str">
        <x:v>Ready</x:v>
      </x:c>
      <x:c r="F11" s="32" t="str">
        <x:v>High-quality transparent portrait; strong current-use asset.</x:v>
      </x:c>
      <x:c r="G11" s="32" t="str">
        <x:v>Use now</x:v>
      </x:c>
      <x:c r="H11" s="32" t="str">
        <x:v>Later expression pack with identical alignment/canvas.</x:v>
      </x:c>
    </x:row>
    <x:row r="12">
      <x:c r="A12" s="32" t="str">
        <x:v>char-makoto.webp</x:v>
      </x:c>
      <x:c r="B12" s="32" t="str">
        <x:v>Character portrait</x:v>
      </x:c>
      <x:c r="C12" s="32" t="str">
        <x:v>400×400</x:v>
      </x:c>
      <x:c r="D12" s="32" t="str">
        <x:v>Yes</x:v>
      </x:c>
      <x:c r="E12" s="32" t="str">
        <x:v>Ready</x:v>
      </x:c>
      <x:c r="F12" s="32" t="str">
        <x:v>Clean transparent portrait; enough for cards/sidebar, but lower resolution than ideal for large stage placement.</x:v>
      </x:c>
      <x:c r="G12" s="32" t="str">
        <x:v>Use now</x:v>
      </x:c>
      <x:c r="H12" s="32" t="str">
        <x:v>Later replace/augment with larger standardized expression sprites.</x:v>
      </x:c>
    </x:row>
    <x:row r="13">
      <x:c r="A13" s="32" t="str">
        <x:v>char-ann.webp</x:v>
      </x:c>
      <x:c r="B13" s="32" t="str">
        <x:v>Character portrait</x:v>
      </x:c>
      <x:c r="C13" s="32" t="str">
        <x:v>715×653</x:v>
      </x:c>
      <x:c r="D13" s="32" t="str">
        <x:v>Yes</x:v>
      </x:c>
      <x:c r="E13" s="32" t="str">
        <x:v>Ready</x:v>
      </x:c>
      <x:c r="F13" s="32" t="str">
        <x:v>Clean transparent portrait and good character-card asset.</x:v>
      </x:c>
      <x:c r="G13" s="32" t="str">
        <x:v>Use now</x:v>
      </x:c>
      <x:c r="H13" s="32" t="str">
        <x:v>Later expression pack with consistent crop/anchor.</x:v>
      </x:c>
    </x:row>
    <x:row r="14">
      <x:c r="A14" s="32" t="str">
        <x:v>char-misato.webp</x:v>
      </x:c>
      <x:c r="B14" s="32" t="str">
        <x:v>Character portrait</x:v>
      </x:c>
      <x:c r="C14" s="32" t="str">
        <x:v>1620×1620</x:v>
      </x:c>
      <x:c r="D14" s="32" t="str">
        <x:v>Yes</x:v>
      </x:c>
      <x:c r="E14" s="32" t="str">
        <x:v>Ready</x:v>
      </x:c>
      <x:c r="F14" s="32" t="str">
        <x:v>Very strong resolution and transparency for current UI.</x:v>
      </x:c>
      <x:c r="G14" s="32" t="str">
        <x:v>Use now</x:v>
      </x:c>
      <x:c r="H14" s="32" t="str">
        <x:v>Good source quality for future sprite-mode variants.</x:v>
      </x:c>
    </x:row>
    <x:row r="15">
      <x:c r="A15" s="32" t="str">
        <x:v>char-gendo.webp</x:v>
      </x:c>
      <x:c r="B15" s="32" t="str">
        <x:v>Character portrait</x:v>
      </x:c>
      <x:c r="C15" s="32" t="str">
        <x:v>1280×720</x:v>
      </x:c>
      <x:c r="D15" s="32" t="str">
        <x:v>Yes</x:v>
      </x:c>
      <x:c r="E15" s="32" t="str">
        <x:v>Ready</x:v>
      </x:c>
      <x:c r="F15" s="32" t="str">
        <x:v>Transparent and high enough resolution; aspect ratio differs from other portraits but can be normalized by the UI container.</x:v>
      </x:c>
      <x:c r="G15" s="32" t="str">
        <x:v>Use now</x:v>
      </x:c>
      <x:c r="H15" s="32" t="str">
        <x:v>Later expression pack; keep canvas/anchor consistent.</x:v>
      </x:c>
    </x:row>
    <x:row r="16">
      <x:c r="A16" s="32" t="str">
        <x:v>char-sherlock.webp</x:v>
      </x:c>
      <x:c r="B16" s="32" t="str">
        <x:v>Character portrait</x:v>
      </x:c>
      <x:c r="C16" s="32" t="str">
        <x:v>612×408</x:v>
      </x:c>
      <x:c r="D16" s="32" t="str">
        <x:v>Yes</x:v>
      </x:c>
      <x:c r="E16" s="32" t="str">
        <x:v>Ready</x:v>
      </x:c>
      <x:c r="F16" s="32" t="str">
        <x:v>Usable transparent portrait for cards and header.</x:v>
      </x:c>
      <x:c r="G16" s="32" t="str">
        <x:v>Use now</x:v>
      </x:c>
      <x:c r="H16" s="32" t="str">
        <x:v>Later standardized expression pack if Sherlock enters stage mode.</x:v>
      </x:c>
    </x:row>
    <x:row r="17">
      <x:c r="A17" s="32" t="str">
        <x:v>bg-protean-default.webp</x:v>
      </x:c>
      <x:c r="B17" s="32" t="str">
        <x:v>Background</x:v>
      </x:c>
      <x:c r="C17" s="32" t="str">
        <x:v>1000×625</x:v>
      </x:c>
      <x:c r="D17" s="32" t="str">
        <x:v>No</x:v>
      </x:c>
      <x:c r="E17" s="32" t="str">
        <x:v>Ready</x:v>
      </x:c>
      <x:c r="F17" s="32" t="str">
        <x:v>Excellent default mood: dark, unobtrusive and compatible with the logo.</x:v>
      </x:c>
      <x:c r="G17" s="32" t="str">
        <x:v>Use now</x:v>
      </x:c>
      <x:c r="H17" s="32" t="str">
        <x:v>Below 1920×1080 target; acceptable for first pass, higher-resolution version would improve 1440p displays.</x:v>
      </x:c>
    </x:row>
    <x:row r="18">
      <x:c r="A18" s="32" t="str">
        <x:v>bg-old-study.webp</x:v>
      </x:c>
      <x:c r="B18" s="32" t="str">
        <x:v>Background</x:v>
      </x:c>
      <x:c r="C18" s="32" t="str">
        <x:v>1200×703</x:v>
      </x:c>
      <x:c r="D18" s="32" t="str">
        <x:v>No</x:v>
      </x:c>
      <x:c r="E18" s="32" t="str">
        <x:v>Ready</x:v>
      </x:c>
      <x:c r="F18" s="32" t="str">
        <x:v>Strong literary/study environment and good fit for notebook/manuscript frames.</x:v>
      </x:c>
      <x:c r="G18" s="32" t="str">
        <x:v>Use now</x:v>
      </x:c>
      <x:c r="H18" s="32" t="str">
        <x:v>Below target resolution; optional later upgrade.</x:v>
      </x:c>
    </x:row>
    <x:row r="19">
      <x:c r="A19" s="32" t="str">
        <x:v>bg-wizard-archive.webp</x:v>
      </x:c>
      <x:c r="B19" s="32" t="str">
        <x:v>Background</x:v>
      </x:c>
      <x:c r="C19" s="32" t="str">
        <x:v>1280×720</x:v>
      </x:c>
      <x:c r="D19" s="32" t="str">
        <x:v>No</x:v>
      </x:c>
      <x:c r="E19" s="32" t="str">
        <x:v>Ready</x:v>
      </x:c>
      <x:c r="F19" s="32" t="str">
        <x:v>Very suitable for Tom/Hermione environments; center remains usable behind UI.</x:v>
      </x:c>
      <x:c r="G19" s="32" t="str">
        <x:v>Use now</x:v>
      </x:c>
      <x:c r="H19" s="32" t="str">
        <x:v>Optional higher-resolution replacement later.</x:v>
      </x:c>
    </x:row>
    <x:row r="20">
      <x:c r="A20" s="32" t="str">
        <x:v>bg-tokyo-rain.webp</x:v>
      </x:c>
      <x:c r="B20" s="32" t="str">
        <x:v>Background</x:v>
      </x:c>
      <x:c r="C20" s="32" t="str">
        <x:v>1080×607</x:v>
      </x:c>
      <x:c r="D20" s="32" t="str">
        <x:v>No</x:v>
      </x:c>
      <x:c r="E20" s="32" t="str">
        <x:v>Ready</x:v>
      </x:c>
      <x:c r="F20" s="32" t="str">
        <x:v>Strong Persona-style atmosphere and a good contrast to the formal shell.</x:v>
      </x:c>
      <x:c r="G20" s="32" t="str">
        <x:v>Use now</x:v>
      </x:c>
      <x:c r="H20" s="32" t="str">
        <x:v>Below target resolution; use cover + overlay and consider 1920×1080 later.</x:v>
      </x:c>
    </x:row>
    <x:row r="21">
      <x:c r="A21" s="32" t="str">
        <x:v>bg-geofront.webp</x:v>
      </x:c>
      <x:c r="B21" s="32" t="str">
        <x:v>Background</x:v>
      </x:c>
      <x:c r="C21" s="32" t="str">
        <x:v>1280×721</x:v>
      </x:c>
      <x:c r="D21" s="32" t="str">
        <x:v>No</x:v>
      </x:c>
      <x:c r="E21" s="32" t="str">
        <x:v>Ready</x:v>
      </x:c>
      <x:c r="F21" s="32" t="str">
        <x:v>Good Evangelion-style environment; bright gold needs a dark overlay for text/UI legibility.</x:v>
      </x:c>
      <x:c r="G21" s="32" t="str">
        <x:v>Use now</x:v>
      </x:c>
      <x:c r="H21" s="32" t="str">
        <x:v>Optional higher-resolution replacement later.</x:v>
      </x:c>
    </x:row>
    <x:row r="22">
      <x:c r="A22" s="32" t="str">
        <x:v>texture-notebook-paper.webp</x:v>
      </x:c>
      <x:c r="B22" s="32" t="str">
        <x:v>Frame texture</x:v>
      </x:c>
      <x:c r="C22" s="32" t="str">
        <x:v>1024×683</x:v>
      </x:c>
      <x:c r="D22" s="32" t="str">
        <x:v>No</x:v>
      </x:c>
      <x:c r="E22" s="32" t="str">
        <x:v>Ready</x:v>
      </x:c>
      <x:c r="F22" s="32" t="str">
        <x:v>Good physical paper texture; stronger creasing than a subtle grain, so opacity/blending should be controlled.</x:v>
      </x:c>
      <x:c r="G22" s="32" t="str">
        <x:v>Use now</x:v>
      </x:c>
      <x:c r="H22" s="32" t="str">
        <x:v>Apply as a low-strength surface layer rather than full-strength wallpaper.</x:v>
      </x:c>
    </x:row>
    <x:row r="23">
      <x:c r="A23" s="32" t="str">
        <x:v>texture-parchment.webp</x:v>
      </x:c>
      <x:c r="B23" s="32" t="str">
        <x:v>Frame texture</x:v>
      </x:c>
      <x:c r="C23" s="32" t="str">
        <x:v>1024×1029</x:v>
      </x:c>
      <x:c r="D23" s="32" t="str">
        <x:v>No</x:v>
      </x:c>
      <x:c r="E23" s="32" t="str">
        <x:v>Ready</x:v>
      </x:c>
      <x:c r="F23" s="32" t="str">
        <x:v>Strong manuscript texture and suitable for a document-like frame.</x:v>
      </x:c>
      <x:c r="G23" s="32" t="str">
        <x:v>Use now</x:v>
      </x:c>
      <x:c r="H23" s="32" t="str">
        <x:v>Crop/position carefully so the printed reference content does not compete with chat text.</x:v>
      </x:c>
    </x:row>
    <x:row r="24">
      <x:c r="A24" s="32" t="str">
        <x:v>frame-notebook-edge.webp</x:v>
      </x:c>
      <x:c r="B24" s="32" t="str">
        <x:v>Expected frame asset</x:v>
      </x:c>
      <x:c r="C24" s="32" t="str">
        <x:v>Not found</x:v>
      </x:c>
      <x:c r="D24" s="32" t="str">
        <x:v>—</x:v>
      </x:c>
      <x:c r="E24" s="32" t="str">
        <x:v>Marked Ready in workbook</x:v>
      </x:c>
      <x:c r="F24" s="32" t="str">
        <x:v>This is the one mismatch: the workbook marks it Ready, but it is not present in assets.zip.</x:v>
      </x:c>
      <x:c r="G24" s="32" t="str">
        <x:v>Not blocking</x:v>
      </x:c>
      <x:c r="H24" s="32" t="str">
        <x:v>Use CSS for the notebook edge in the current patch, or supply the file later if you intended one.</x:v>
      </x:c>
    </x:row>
  </x:sheetData>
  <x:mergeCells>
    <x:mergeCell ref="A1:H1"/>
    <x:mergeCell ref="A2:H2"/>
  </x:mergeCells>
  <x:conditionalFormatting sqref="G5:G24">
    <x:cfRule type="expression" dxfId="4" priority="1">
      <x:formula>G5="Use now"</x:formula>
    </x:cfRule>
    <x:cfRule type="expression" dxfId="5" priority="2">
      <x:formula>G5="Not blocking"</x:formula>
    </x:cfRule>
    <x:cfRule type="expression" dxfId="6" priority="3">
      <x:formula>G5="Reference only for this patch"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30" hidden="0" customWidth="1"/>
    <x:col min="4" max="4" width="44" hidden="0" customWidth="1"/>
    <x:col min="5" max="5" width="25" hidden="0" customWidth="1"/>
    <x:col min="6" max="6" width="38" hidden="0" customWidth="1"/>
    <x:col min="7" max="7" width="22" hidden="0" customWidth="1"/>
    <x:col min="8" max="8" width="52" hidden="0" customWidth="1"/>
  </x:cols>
  <x:sheetData>
    <x:row r="1">
      <x:c r="A1" s="22" t="str">
        <x:v>Protean Workspace — Variable Character Sprite Mode</x:v>
      </x:c>
      <x:c r="B1" s="22"/>
      <x:c r="C1" s="22"/>
      <x:c r="D1" s="22"/>
      <x:c r="E1" s="22"/>
      <x:c r="F1" s="22"/>
      <x:c r="G1" s="22"/>
      <x:c r="H1" s="22"/>
    </x:row>
    <x:row r="3">
      <x:c r="A3" s="29" t="str">
        <x:v>Feature status</x:v>
      </x:c>
      <x:c r="B3" s="32" t="str">
        <x:v>Deferred — explicitly NOT implemented in the current visual patch</x:v>
      </x:c>
    </x:row>
    <x:row r="4">
      <x:c r="A4" s="29" t="str">
        <x:v>Target</x:v>
      </x:c>
      <x:c r="B4" s="32" t="str">
        <x:v>Next patch after the React visual foundation is stable</x:v>
      </x:c>
    </x:row>
    <x:row r="5">
      <x:c r="A5" s="29" t="str">
        <x:v>Purpose</x:v>
      </x:c>
      <x:c r="B5" s="32" t="str">
        <x:v>Place a character sprite inside the scene/background and change expression without replacing the chat architecture</x:v>
      </x:c>
    </x:row>
    <x:row r="6">
      <x:c r="A6" s="29" t="str">
        <x:v>Reference</x:v>
      </x:c>
      <x:c r="B6" s="32" t="str">
        <x:v>reference-global-03-behind sprite who changes expression…png</x:v>
      </x:c>
    </x:row>
    <x:row r="7">
      <x:c r="A7" s="29" t="str">
        <x:v>Boundary</x:v>
      </x:c>
      <x:c r="B7" s="32" t="str">
        <x:v>Presentation layer only; no provider secret, auth, database or model transport dependency</x:v>
      </x:c>
    </x:row>
    <x:row r="9">
      <x:c r="A9" s="30" t="str">
        <x:v>Requirement</x:v>
      </x:c>
      <x:c r="B9" s="30" t="str">
        <x:v>Design</x:v>
      </x:c>
      <x:c r="C9" s="30" t="str">
        <x:v>Runtime owner</x:v>
      </x:c>
      <x:c r="D9" s="30" t="str">
        <x:v>AI involvement</x:v>
      </x:c>
      <x:c r="E9" s="30" t="str">
        <x:v>Fallback</x:v>
      </x:c>
      <x:c r="F9" s="30" t="str">
        <x:v>Asset convention</x:v>
      </x:c>
      <x:c r="G9" s="30" t="str">
        <x:v>Current state</x:v>
      </x:c>
      <x:c r="H9" s="30" t="str">
        <x:v>Notes</x:v>
      </x:c>
    </x:row>
    <x:row r="10">
      <x:c r="A10" s="32" t="str">
        <x:v>Mode toggle</x:v>
      </x:c>
      <x:c r="B10" s="32" t="str">
        <x:v>Optional Stage/Sprite mode; standard portrait mode remains available.</x:v>
      </x:c>
      <x:c r="C10" s="32" t="str">
        <x:v>Frontend presentation store</x:v>
      </x:c>
      <x:c r="D10" s="32" t="str">
        <x:v>None</x:v>
      </x:c>
      <x:c r="E10" s="32" t="str">
        <x:v>Primary portrait</x:v>
      </x:c>
      <x:c r="F10" s="32" t="str">
        <x:v>character.presentation.stage_mode</x:v>
      </x:c>
      <x:c r="G10" s="32" t="str">
        <x:v>Deferred</x:v>
      </x:c>
      <x:c r="H10" s="32" t="str">
        <x:v>Mode must be independently switchable per chat/workspace.</x:v>
      </x:c>
    </x:row>
    <x:row r="11">
      <x:c r="A11" s="32" t="str">
        <x:v>Layer order</x:v>
      </x:c>
      <x:c r="B11" s="32" t="str">
        <x:v>Background → character sprite → atmospheric FX → physical frame → chat transcript → UI chrome.</x:v>
      </x:c>
      <x:c r="C11" s="32" t="str">
        <x:v>Frontend renderer</x:v>
      </x:c>
      <x:c r="D11" s="32" t="str">
        <x:v>None</x:v>
      </x:c>
      <x:c r="E11" s="32" t="str">
        <x:v>Hide missing layers</x:v>
      </x:c>
      <x:c r="F11" s="32" t="str">
        <x:v>layout/theme schema</x:v>
      </x:c>
      <x:c r="G11" s="32" t="str">
        <x:v>Deferred</x:v>
      </x:c>
      <x:c r="H11" s="32" t="str">
        <x:v>Keeps the character inside the scene while the transcript remains readable.</x:v>
      </x:c>
    </x:row>
    <x:row r="12">
      <x:c r="A12" s="32" t="str">
        <x:v>Expression selection</x:v>
      </x:c>
      <x:c r="B12" s="32" t="str">
        <x:v>UI maps a semantic expression tag to an available sprite.</x:v>
      </x:c>
      <x:c r="C12" s="32" t="str">
        <x:v>Frontend + character card</x:v>
      </x:c>
      <x:c r="D12" s="32" t="str">
        <x:v>Model may emit semantic state metadata such as neutral/amused/angry; it never emits asset filenames.</x:v>
      </x:c>
      <x:c r="E12" s="32" t="str">
        <x:v>neutral</x:v>
      </x:c>
      <x:c r="F12" s="32" t="str">
        <x:v>sprites.&lt;expression&gt;</x:v>
      </x:c>
      <x:c r="G12" s="32" t="str">
        <x:v>Deferred</x:v>
      </x:c>
      <x:c r="H12" s="32" t="str">
        <x:v>This prevents prompt text from knowing filesystem paths and preserves the architecture boundary.</x:v>
      </x:c>
    </x:row>
    <x:row r="13">
      <x:c r="A13" s="32" t="str">
        <x:v>Sprite pack</x:v>
      </x:c>
      <x:c r="B13" s="32" t="str">
        <x:v>Multiple transparent sprites per character using the same canvas, scale and anchor.</x:v>
      </x:c>
      <x:c r="C13" s="32" t="str">
        <x:v>Character assets</x:v>
      </x:c>
      <x:c r="D13" s="32" t="str">
        <x:v>None</x:v>
      </x:c>
      <x:c r="E13" s="32" t="str">
        <x:v>Primary portrait if pack incomplete</x:v>
      </x:c>
      <x:c r="F13" s="32" t="str">
        <x:v>characters/{id}/sprites/{expression}.webp</x:v>
      </x:c>
      <x:c r="G13" s="32" t="str">
        <x:v>Not supplied yet</x:v>
      </x:c>
      <x:c r="H13" s="32" t="str">
        <x:v>Preferred canvas: ~1024×1536 transparent WebP/PNG for 3/4 or full-body stage art.</x:v>
      </x:c>
    </x:row>
    <x:row r="14">
      <x:c r="A14" s="32" t="str">
        <x:v>Minimum expressions</x:v>
      </x:c>
      <x:c r="B14" s="32" t="str">
        <x:v>neutral, positive/amused, negative/angry, concerned/sad. Add surprised and thinking/smirk when useful.</x:v>
      </x:c>
      <x:c r="C14" s="32" t="str">
        <x:v>Character assets</x:v>
      </x:c>
      <x:c r="D14" s="32" t="str">
        <x:v>Semantic tag only</x:v>
      </x:c>
      <x:c r="E14" s="32" t="str">
        <x:v>neutral</x:v>
      </x:c>
      <x:c r="F14" s="32" t="str">
        <x:v>expression enum</x:v>
      </x:c>
      <x:c r="G14" s="32" t="str">
        <x:v>Not supplied yet</x:v>
      </x:c>
      <x:c r="H14" s="32" t="str">
        <x:v>Per-character vocabulary may specialize the generic states later.</x:v>
      </x:c>
    </x:row>
    <x:row r="15">
      <x:c r="A15" s="32" t="str">
        <x:v>Anchor metadata</x:v>
      </x:c>
      <x:c r="B15" s="32" t="str">
        <x:v>Store x/y anchor, scale, max-height and optional horizontal flip in character presentation metadata.</x:v>
      </x:c>
      <x:c r="C15" s="32" t="str">
        <x:v>Character card + validated layout schema</x:v>
      </x:c>
      <x:c r="D15" s="32" t="str">
        <x:v>None</x:v>
      </x:c>
      <x:c r="E15" s="32" t="str">
        <x:v>Center/bottom default</x:v>
      </x:c>
      <x:c r="F15" s="32" t="str">
        <x:v>sprite_anchor</x:v>
      </x:c>
      <x:c r="G15" s="32" t="str">
        <x:v>Deferred</x:v>
      </x:c>
      <x:c r="H15" s="32" t="str">
        <x:v>Avoid hard-coded pixel positions in components.</x:v>
      </x:c>
    </x:row>
    <x:row r="16">
      <x:c r="A16" s="32" t="str">
        <x:v>Background compatibility</x:v>
      </x:c>
      <x:c r="B16" s="32" t="str">
        <x:v>Sprite can be positioned differently per scene only through presentation metadata, not model instructions.</x:v>
      </x:c>
      <x:c r="C16" s="32" t="str">
        <x:v>Theme/layout schema</x:v>
      </x:c>
      <x:c r="D16" s="32" t="str">
        <x:v>None</x:v>
      </x:c>
      <x:c r="E16" s="32" t="str">
        <x:v>Global anchor</x:v>
      </x:c>
      <x:c r="F16" s="32" t="str">
        <x:v>scene_overrides</x:v>
      </x:c>
      <x:c r="G16" s="32" t="str">
        <x:v>Deferred</x:v>
      </x:c>
      <x:c r="H16" s="32" t="str">
        <x:v>Useful when a scene has a desk/foreground obstruction.</x:v>
      </x:c>
    </x:row>
    <x:row r="17">
      <x:c r="A17" s="32" t="str">
        <x:v>Transition</x:v>
      </x:c>
      <x:c r="B17" s="32" t="str">
        <x:v>Cross-fade or short expression dissolve; no heavy animation by default.</x:v>
      </x:c>
      <x:c r="C17" s="32" t="str">
        <x:v>Motion presentation layer</x:v>
      </x:c>
      <x:c r="D17" s="32" t="str">
        <x:v>None</x:v>
      </x:c>
      <x:c r="E17" s="32" t="str">
        <x:v>Instant swap with reduced motion</x:v>
      </x:c>
      <x:c r="F17" s="32" t="str">
        <x:v>transition token</x:v>
      </x:c>
      <x:c r="G17" s="32" t="str">
        <x:v>Deferred</x:v>
      </x:c>
      <x:c r="H17" s="32" t="str">
        <x:v>Respect prefers-reduced-motion.</x:v>
      </x:c>
    </x:row>
    <x:row r="18">
      <x:c r="A18" s="32" t="str">
        <x:v>Sprite cache</x:v>
      </x:c>
      <x:c r="B18" s="32" t="str">
        <x:v>Preload neutral + likely next expressions for the active character.</x:v>
      </x:c>
      <x:c r="C18" s="32" t="str">
        <x:v>Frontend asset loader</x:v>
      </x:c>
      <x:c r="D18" s="32" t="str">
        <x:v>None</x:v>
      </x:c>
      <x:c r="E18" s="32" t="str">
        <x:v>Lazy-load</x:v>
      </x:c>
      <x:c r="F18" s="32" t="str">
        <x:v>manifest</x:v>
      </x:c>
      <x:c r="G18" s="32" t="str">
        <x:v>Deferred</x:v>
      </x:c>
      <x:c r="H18" s="32" t="str">
        <x:v>Avoid visible flashes when expression changes.</x:v>
      </x:c>
    </x:row>
    <x:row r="19">
      <x:c r="A19" s="32" t="str">
        <x:v>External editor</x:v>
      </x:c>
      <x:c r="B19" s="32" t="str">
        <x:v>Editor can move/scale the sprite anchor, but exports only validated layout/presentation values.</x:v>
      </x:c>
      <x:c r="C19" s="32" t="str">
        <x:v>tools/layout-editor/</x:v>
      </x:c>
      <x:c r="D19" s="32" t="str">
        <x:v>None</x:v>
      </x:c>
      <x:c r="E19" s="32" t="str">
        <x:v>Default anchor</x:v>
      </x:c>
      <x:c r="F19" s="32" t="str">
        <x:v>layout.json</x:v>
      </x:c>
      <x:c r="G19" s="32" t="str">
        <x:v>Deferred</x:v>
      </x:c>
      <x:c r="H19" s="32" t="str">
        <x:v>Editor remains an outsider tool exactly as agreed.</x:v>
      </x:c>
    </x:row>
  </x:sheetData>
  <x:mergeCells>
    <x:mergeCell ref="A1:H1"/>
  </x:mergeCells>
  <x:conditionalFormatting sqref="G10:G19">
    <x:cfRule type="expression" dxfId="7" priority="1">
      <x:formula>G10="Deferred"</x:formula>
    </x:cfRule>
    <x:cfRule type="expression" dxfId="8" priority="2">
      <x:formula>G10="Not supplied yet"</x:formula>
    </x:cfRule>
  </x:conditionalFormatting>
  <x:pageMargins left="0.7" right="0.7" top="0.75" bottom="0.75" header="0.3" footer="0.3"/>
</x:worksheet>
</file>